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F:\生化保温箱控制系统\文档撰写\"/>
    </mc:Choice>
  </mc:AlternateContent>
  <xr:revisionPtr revIDLastSave="0" documentId="8_{C27A29BD-EB7E-4802-90B1-9DB00C01AC28}" xr6:coauthVersionLast="47" xr6:coauthVersionMax="47" xr10:uidLastSave="{00000000-0000-0000-0000-000000000000}"/>
  <bookViews>
    <workbookView xWindow="-110" yWindow="-110" windowWidth="25820" windowHeight="13900" activeTab="3" xr2:uid="{00000000-000D-0000-FFFF-FFFF00000000}"/>
  </bookViews>
  <sheets>
    <sheet name="基础信息表" sheetId="13" r:id="rId1"/>
    <sheet name="过程评分表" sheetId="19" r:id="rId2"/>
    <sheet name="答辩评分表  " sheetId="4" r:id="rId3"/>
    <sheet name="团队合作自评-互评表" sheetId="15" r:id="rId4"/>
    <sheet name="成绩评定单" sheetId="16" r:id="rId5"/>
    <sheet name="信息汇总表" sheetId="1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18" l="1"/>
  <c r="M5" i="18"/>
  <c r="L5" i="18"/>
  <c r="K5" i="18"/>
  <c r="J5" i="18"/>
  <c r="I5" i="18"/>
  <c r="H5" i="18"/>
  <c r="G5" i="18"/>
  <c r="F5" i="18"/>
  <c r="E5" i="18"/>
  <c r="D5" i="18"/>
  <c r="C5" i="18"/>
  <c r="B5" i="18"/>
  <c r="A5" i="18"/>
  <c r="N4" i="18"/>
  <c r="M4" i="18"/>
  <c r="L4" i="18"/>
  <c r="K4" i="18"/>
  <c r="J4" i="18"/>
  <c r="I4" i="18"/>
  <c r="H4" i="18"/>
  <c r="G4" i="18"/>
  <c r="F4" i="18"/>
  <c r="E4" i="18"/>
  <c r="D4" i="18"/>
  <c r="C4" i="18"/>
  <c r="B4" i="18"/>
  <c r="A4" i="18"/>
  <c r="N3" i="18"/>
  <c r="M3" i="18"/>
  <c r="L3" i="18"/>
  <c r="K3" i="18"/>
  <c r="J3" i="18"/>
  <c r="I3" i="18"/>
  <c r="H3" i="18"/>
  <c r="G3" i="18"/>
  <c r="F3" i="18"/>
  <c r="E3" i="18"/>
  <c r="D3" i="18"/>
  <c r="C3" i="18"/>
  <c r="B3" i="18"/>
  <c r="A3" i="18"/>
  <c r="F78" i="16"/>
  <c r="C76" i="16"/>
  <c r="C75" i="16"/>
  <c r="J70" i="16"/>
  <c r="H70" i="16"/>
  <c r="F70" i="16"/>
  <c r="E70" i="16"/>
  <c r="D70" i="16"/>
  <c r="C70" i="16"/>
  <c r="G66" i="16"/>
  <c r="G65" i="16"/>
  <c r="K64" i="16"/>
  <c r="I64" i="16"/>
  <c r="K63" i="16"/>
  <c r="I63" i="16"/>
  <c r="K62" i="16"/>
  <c r="I62" i="16"/>
  <c r="K58" i="16"/>
  <c r="F58" i="16"/>
  <c r="C58" i="16"/>
  <c r="F57" i="16"/>
  <c r="C57" i="16"/>
  <c r="C56" i="16"/>
  <c r="F52" i="16"/>
  <c r="C50" i="16"/>
  <c r="C49" i="16"/>
  <c r="J44" i="16"/>
  <c r="H44" i="16"/>
  <c r="F44" i="16"/>
  <c r="E44" i="16"/>
  <c r="D44" i="16"/>
  <c r="C44" i="16"/>
  <c r="G40" i="16"/>
  <c r="G39" i="16"/>
  <c r="K38" i="16"/>
  <c r="I38" i="16"/>
  <c r="K37" i="16"/>
  <c r="I37" i="16"/>
  <c r="K36" i="16"/>
  <c r="I36" i="16"/>
  <c r="K32" i="16"/>
  <c r="F32" i="16"/>
  <c r="C32" i="16"/>
  <c r="F31" i="16"/>
  <c r="C31" i="16"/>
  <c r="C30" i="16"/>
  <c r="F26" i="16"/>
  <c r="C24" i="16"/>
  <c r="C23" i="16"/>
  <c r="J18" i="16"/>
  <c r="H18" i="16"/>
  <c r="F18" i="16"/>
  <c r="E18" i="16"/>
  <c r="D18" i="16"/>
  <c r="C18" i="16"/>
  <c r="G14" i="16"/>
  <c r="G13" i="16"/>
  <c r="K12" i="16"/>
  <c r="I12" i="16"/>
  <c r="K11" i="16"/>
  <c r="I11" i="16"/>
  <c r="K10" i="16"/>
  <c r="I10" i="16"/>
  <c r="K6" i="16"/>
  <c r="F6" i="16"/>
  <c r="C6" i="16"/>
  <c r="F5" i="16"/>
  <c r="C5" i="16"/>
  <c r="C4" i="16"/>
  <c r="E21" i="4"/>
  <c r="C20" i="4"/>
  <c r="J18" i="4"/>
  <c r="J17" i="4"/>
  <c r="J16" i="4"/>
  <c r="J15" i="4"/>
  <c r="J14" i="4"/>
  <c r="J13" i="4"/>
  <c r="J12" i="4"/>
  <c r="J8" i="4"/>
  <c r="E8" i="4"/>
  <c r="D8" i="4"/>
  <c r="C8" i="4"/>
  <c r="A8" i="4"/>
  <c r="J7" i="4"/>
  <c r="E7" i="4"/>
  <c r="D7" i="4"/>
  <c r="C7" i="4"/>
  <c r="J6" i="4"/>
  <c r="E6" i="4"/>
  <c r="D6" i="4"/>
  <c r="C6" i="4"/>
  <c r="A6" i="4"/>
  <c r="C4" i="4"/>
  <c r="F57" i="19"/>
  <c r="I56" i="19"/>
  <c r="K54" i="19"/>
  <c r="K53" i="19"/>
  <c r="K52" i="19"/>
  <c r="K51" i="19"/>
  <c r="K50" i="19"/>
  <c r="K49" i="19"/>
  <c r="K48" i="19"/>
  <c r="K44" i="19"/>
  <c r="F44" i="19"/>
  <c r="C44" i="19"/>
  <c r="F43" i="19"/>
  <c r="C43" i="19"/>
  <c r="C42" i="19"/>
  <c r="F38" i="19"/>
  <c r="I37" i="19"/>
  <c r="K35" i="19"/>
  <c r="K34" i="19"/>
  <c r="K33" i="19"/>
  <c r="K32" i="19"/>
  <c r="K31" i="19"/>
  <c r="K30" i="19"/>
  <c r="K29" i="19"/>
  <c r="K25" i="19"/>
  <c r="F25" i="19"/>
  <c r="C25" i="19"/>
  <c r="F24" i="19"/>
  <c r="C24" i="19"/>
  <c r="C23" i="19"/>
  <c r="F19" i="19"/>
  <c r="I18" i="19"/>
  <c r="K16" i="19"/>
  <c r="K15" i="19"/>
  <c r="K14" i="19"/>
  <c r="K13" i="19"/>
  <c r="K12" i="19"/>
  <c r="K11" i="19"/>
  <c r="K10" i="19"/>
  <c r="K6" i="19"/>
  <c r="F6" i="19"/>
  <c r="C6" i="19"/>
  <c r="F5" i="19"/>
  <c r="C5" i="19"/>
  <c r="C4" i="19"/>
  <c r="C12" i="13"/>
  <c r="C11" i="13"/>
  <c r="F153" i="15"/>
  <c r="F152" i="15"/>
  <c r="F151" i="15"/>
  <c r="G148" i="15"/>
  <c r="F148" i="15"/>
  <c r="F138" i="15"/>
  <c r="D138" i="15"/>
  <c r="C138" i="15"/>
  <c r="B138" i="15"/>
  <c r="F137" i="15"/>
  <c r="E137" i="15"/>
  <c r="D137" i="15"/>
  <c r="C137" i="15"/>
  <c r="B137" i="15"/>
  <c r="F135" i="15"/>
  <c r="B135" i="15"/>
  <c r="F131" i="15"/>
  <c r="F130" i="15"/>
  <c r="F129" i="15"/>
  <c r="G126" i="15"/>
  <c r="F126" i="15"/>
  <c r="F116" i="15"/>
  <c r="D116" i="15"/>
  <c r="C116" i="15"/>
  <c r="B116" i="15"/>
  <c r="F115" i="15"/>
  <c r="E115" i="15"/>
  <c r="D115" i="15"/>
  <c r="C115" i="15"/>
  <c r="B115" i="15"/>
  <c r="F113" i="15"/>
  <c r="B113" i="15"/>
  <c r="F109" i="15"/>
  <c r="F108" i="15"/>
  <c r="F107" i="15"/>
  <c r="G104" i="15"/>
  <c r="F104" i="15"/>
  <c r="B94" i="15"/>
  <c r="E93" i="15"/>
  <c r="B93" i="15"/>
  <c r="F87" i="15"/>
  <c r="F86" i="15"/>
  <c r="F85" i="15"/>
  <c r="G82" i="15"/>
  <c r="F82" i="15"/>
  <c r="B72" i="15"/>
  <c r="E71" i="15"/>
  <c r="B71" i="15"/>
  <c r="F65" i="15"/>
  <c r="F64" i="15"/>
  <c r="F63" i="15"/>
  <c r="G59" i="15"/>
  <c r="F59" i="15"/>
  <c r="F49" i="15"/>
  <c r="D49" i="15"/>
  <c r="B49" i="15"/>
  <c r="B48" i="15"/>
  <c r="E47" i="15"/>
  <c r="B47" i="15"/>
  <c r="F43" i="15"/>
  <c r="F42" i="15"/>
  <c r="F41" i="15"/>
  <c r="G37" i="15"/>
  <c r="F37" i="15"/>
  <c r="F27" i="15"/>
  <c r="D27" i="15"/>
  <c r="B27" i="15"/>
  <c r="B26" i="15"/>
  <c r="E25" i="15"/>
  <c r="B25" i="15"/>
  <c r="F21" i="15"/>
  <c r="F20" i="15"/>
  <c r="F19" i="15"/>
  <c r="G15" i="15"/>
  <c r="F15" i="15"/>
  <c r="B3" i="15"/>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9" name="ID_1F1695394C5D4F30B6211CC67EB5DEA1"/>
        <xdr:cNvPicPr>
          <a:picLocks noChangeAspect="1"/>
        </xdr:cNvPicPr>
      </xdr:nvPicPr>
      <xdr:blipFill>
        <a:blip r:embed="rId1">
          <a:clrChange>
            <a:clrFrom>
              <a:srgbClr val="DADADA">
                <a:alpha val="100000"/>
              </a:srgbClr>
            </a:clrFrom>
            <a:clrTo>
              <a:srgbClr val="DADADA">
                <a:alpha val="100000"/>
                <a:alpha val="0"/>
              </a:srgbClr>
            </a:clrTo>
          </a:clrChange>
        </a:blip>
        <a:stretch>
          <a:fillRect/>
        </a:stretch>
      </xdr:blipFill>
      <xdr:spPr>
        <a:xfrm>
          <a:off x="2023745" y="2744470"/>
          <a:ext cx="1962785" cy="471805"/>
        </a:xfrm>
        <a:prstGeom prst="rect">
          <a:avLst/>
        </a:prstGeom>
      </xdr:spPr>
    </xdr:pic>
  </etc:cellImage>
  <etc:cellImage>
    <xdr:pic>
      <xdr:nvPicPr>
        <xdr:cNvPr id="8" name="ID_A08B1BBDD01046CB8B5D1E00D71465ED"/>
        <xdr:cNvPicPr>
          <a:picLocks noChangeAspect="1"/>
        </xdr:cNvPicPr>
      </xdr:nvPicPr>
      <xdr:blipFill>
        <a:blip r:embed="rId2" cstate="print">
          <a:clrChange>
            <a:clrFrom>
              <a:srgbClr val="B0AFAB"/>
            </a:clrFrom>
            <a:clrTo>
              <a:srgbClr val="B0AFAB">
                <a:alpha val="0"/>
              </a:srgbClr>
            </a:clrTo>
          </a:clrChange>
          <a:extLst>
            <a:ext uri="{28A0092B-C50C-407E-A947-70E740481C1C}">
              <a14:useLocalDpi xmlns:a14="http://schemas.microsoft.com/office/drawing/2010/main" val="0"/>
            </a:ext>
          </a:extLst>
        </a:blip>
        <a:srcRect t="24618" r="14586" b="54666"/>
        <a:stretch>
          <a:fillRect/>
        </a:stretch>
      </xdr:blipFill>
      <xdr:spPr>
        <a:xfrm>
          <a:off x="2406015" y="2355215"/>
          <a:ext cx="821055" cy="353695"/>
        </a:xfrm>
        <a:prstGeom prst="rect">
          <a:avLst/>
        </a:prstGeom>
      </xdr:spPr>
    </xdr:pic>
  </etc:cellImage>
</etc:cellImages>
</file>

<file path=xl/sharedStrings.xml><?xml version="1.0" encoding="utf-8"?>
<sst xmlns="http://schemas.openxmlformats.org/spreadsheetml/2006/main" count="657" uniqueCount="169">
  <si>
    <t>计控课设-团队信息表</t>
  </si>
  <si>
    <t>填表说明：表格杏色底纹部分填写内容，其余不用动。</t>
  </si>
  <si>
    <t>项目名称：</t>
  </si>
  <si>
    <t>团队编号</t>
  </si>
  <si>
    <t>团队角色</t>
  </si>
  <si>
    <t>姓名</t>
  </si>
  <si>
    <t>学号</t>
  </si>
  <si>
    <t>班级</t>
  </si>
  <si>
    <t>0901</t>
  </si>
  <si>
    <t>负责人</t>
  </si>
  <si>
    <t>自动化2301</t>
  </si>
  <si>
    <t>指导教师</t>
  </si>
  <si>
    <t>成员1</t>
  </si>
  <si>
    <t>王艳辉</t>
  </si>
  <si>
    <t>成员2</t>
  </si>
  <si>
    <t>…</t>
  </si>
  <si>
    <t>指导教师签名</t>
  </si>
  <si>
    <t>答辩组签名</t>
  </si>
  <si>
    <t>表单签字时间</t>
  </si>
  <si>
    <t>考核环节</t>
  </si>
  <si>
    <t>过程评分</t>
  </si>
  <si>
    <t>答辩评分</t>
  </si>
  <si>
    <t>团队自评互评</t>
  </si>
  <si>
    <t>成绩评定</t>
  </si>
  <si>
    <t>签字日期</t>
  </si>
  <si>
    <t>本工作簿表单用途说明</t>
  </si>
  <si>
    <t>序号</t>
  </si>
  <si>
    <t>表单名称</t>
  </si>
  <si>
    <t>用途</t>
  </si>
  <si>
    <t>基础信息表</t>
  </si>
  <si>
    <t>填写杏色底纹单元格，包括团队编号、指导教师和学生信息，签名采用将图片嵌入单元格的形式。</t>
  </si>
  <si>
    <t>过程评分表</t>
  </si>
  <si>
    <t>仅填写评分，即杏色底纹单元格。</t>
  </si>
  <si>
    <t>答辩评分表</t>
  </si>
  <si>
    <t>团队合作
自评-互评表</t>
  </si>
  <si>
    <t>将学生的打分表评分录入表格中</t>
  </si>
  <si>
    <t>成绩评定单</t>
  </si>
  <si>
    <t>自动生成，用于生成PDF文件作为电子存档文件。</t>
  </si>
  <si>
    <t>信息汇总表</t>
  </si>
  <si>
    <t>自动生成，仅有复制功能，用于填写负责人提供的成绩、达成度等汇总表格。</t>
  </si>
  <si>
    <t>最后将表单2、3、4、5生成PDF电子文档用于归档，命名规范如下：</t>
  </si>
  <si>
    <t>一个团队所有文档统一存放于一个文件夹中。
文件夹命名格式为“团队成绩-团队编号-课设题目-自动化-计控课设2026”，示例如下图所示。
文件夹内仅需存放PDF格式文档，Word版本由指导教师自行留存备用。
文件夹下需包含以下pdf文档，签名部分确保不漏，文档命名规则如下：
1-团队编号-任务书-自动化-计控课设2026
2-团队编号-分工表-自动化-计控课设2026
3-团队编号-会议纪要-自动化-计控课设2026
4-团队编号-课设报告-自动化-计控课设2026
5-团队编号-过程评分表-自动化-计控课设2026
6-团队编号-答辩评分表-自动化-计控课设2026
7-团队编号-自评互评表-自动化-计控课设2026
8-团队编号-成绩评定表-自动化-计控课设2026
9-团队编号-成员贡献表-自动化-计控课设2026</t>
  </si>
  <si>
    <t>沈阳航空航天大学自动化学院</t>
  </si>
  <si>
    <r>
      <rPr>
        <b/>
        <u/>
        <sz val="18"/>
        <color theme="1"/>
        <rFont val="黑体"/>
        <family val="3"/>
        <charset val="134"/>
      </rPr>
      <t>计算机控制综合课程设计</t>
    </r>
    <r>
      <rPr>
        <b/>
        <sz val="18"/>
        <color theme="1"/>
        <rFont val="黑体"/>
        <family val="3"/>
        <charset val="134"/>
      </rPr>
      <t xml:space="preserve"> 过程评分表</t>
    </r>
  </si>
  <si>
    <t>填报说明：指导教师只需要在杏色评分区域填写权重值1即可。</t>
  </si>
  <si>
    <t>团队角色：</t>
  </si>
  <si>
    <t>团队编号：</t>
  </si>
  <si>
    <t>姓  名：</t>
  </si>
  <si>
    <t>学  号：</t>
  </si>
  <si>
    <t>班级：</t>
  </si>
  <si>
    <t>课程
目标</t>
  </si>
  <si>
    <t>评价内容</t>
  </si>
  <si>
    <t>具体要求</t>
  </si>
  <si>
    <t>权重</t>
  </si>
  <si>
    <t>评分</t>
  </si>
  <si>
    <t>加权分</t>
  </si>
  <si>
    <t>问题分析</t>
  </si>
  <si>
    <t>查阅文献、资料，获取有效信息；理解课设任务要求并正确描述，明确制约条件，寻找解决复杂工程问题的方法，并得到有效解。</t>
  </si>
  <si>
    <t>解决方案</t>
  </si>
  <si>
    <t>能够综合运用专业理论和技术手段设计针对自动控制领域复杂工程问题的解决方案。方案设计自主性良好，理论正确，切实可行。</t>
  </si>
  <si>
    <t>目标1
目标2</t>
  </si>
  <si>
    <t>方案设计中综合因素的考虑</t>
  </si>
  <si>
    <t>能够在设计过程中综合考虑社会、健康、安全、法律、文化及环境等因素。</t>
  </si>
  <si>
    <t>团队协作</t>
  </si>
  <si>
    <t>明确个人分工、履行个人职责、对团队成果的贡献。</t>
  </si>
  <si>
    <t>主动沟通、配合团队安排、协调与支持他人、团队责任意识。</t>
  </si>
  <si>
    <t>项目管理</t>
  </si>
  <si>
    <t>课程设计过程能够综合考虑经济和管理因素，项目进度计划合理，经济可行。</t>
  </si>
  <si>
    <t>目标3</t>
  </si>
  <si>
    <t>课设过程考核总分(低于3分的学生取消课设答辩资格)</t>
  </si>
  <si>
    <t>指导教师（签字）：</t>
  </si>
  <si>
    <t>填表说明：指导教师只需要在杏色评分区域填写权重值1即可。</t>
  </si>
  <si>
    <r>
      <rPr>
        <b/>
        <u/>
        <sz val="18"/>
        <color theme="1"/>
        <rFont val="Microsoft YaHei UI"/>
        <family val="2"/>
        <charset val="134"/>
      </rPr>
      <t>计算机控制综合课程设计</t>
    </r>
    <r>
      <rPr>
        <b/>
        <u/>
        <sz val="18"/>
        <color theme="1"/>
        <rFont val="黑体"/>
        <family val="3"/>
        <charset val="134"/>
      </rPr>
      <t xml:space="preserve"> </t>
    </r>
    <r>
      <rPr>
        <b/>
        <sz val="18"/>
        <color theme="1"/>
        <rFont val="黑体"/>
        <family val="3"/>
        <charset val="134"/>
      </rPr>
      <t xml:space="preserve"> </t>
    </r>
    <r>
      <rPr>
        <b/>
        <sz val="18"/>
        <color theme="1"/>
        <rFont val="Microsoft YaHei UI"/>
        <family val="2"/>
        <charset val="134"/>
      </rPr>
      <t xml:space="preserve">答辩评分表  </t>
    </r>
  </si>
  <si>
    <t>说明：只需在杏色评分区域填写权重1，该表是对整个团队进行评分的。</t>
  </si>
  <si>
    <t>项目名称</t>
  </si>
  <si>
    <t>自动化2102</t>
  </si>
  <si>
    <t>答辩过程中，能够理解课设任务并正确描述，明确任务分工，方案可行。</t>
  </si>
  <si>
    <t>答辩PPT，能够综合运用专业理论和技术手段设计针对自动控制领域复杂工程问题的解决方案。软硬件方案设计良好，理论正确。实验或仿真结果分析正确。</t>
  </si>
  <si>
    <t>明确个人分工、履行个人职责、对团队成果的贡献</t>
  </si>
  <si>
    <t>主动沟通、配合团队安排、协调与支持他人、团队责任意识</t>
  </si>
  <si>
    <t>课程设计过程团队整体都能够综合考虑经济和管理因素，项目进度计划合理，经济可行。</t>
  </si>
  <si>
    <t>总分课设过程答辩总分(低于3分的学生答辩不及格)</t>
  </si>
  <si>
    <t>答辩组签字：</t>
  </si>
  <si>
    <r>
      <rPr>
        <b/>
        <u/>
        <sz val="18"/>
        <rFont val="Microsoft YaHei UI"/>
        <family val="2"/>
        <charset val="134"/>
      </rPr>
      <t>计算机控制综合课程设计</t>
    </r>
    <r>
      <rPr>
        <b/>
        <sz val="18"/>
        <rFont val="Microsoft YaHei UI"/>
        <family val="2"/>
        <charset val="134"/>
      </rPr>
      <t xml:space="preserve">  团队合作自评表</t>
    </r>
  </si>
  <si>
    <t>团队评分计算方法：所有打分均为百分制，团队评分占课设总成绩权重为20%。
（1）团队负责人得分=负责人自评*40%+（成员对负责人评分累积和/成员人数）*60%
（2）成员得分=成员自评*40%+负责人对成员员的评分*60%</t>
  </si>
  <si>
    <t>0902</t>
  </si>
  <si>
    <t>周恭瑾</t>
  </si>
  <si>
    <t>学号：</t>
  </si>
  <si>
    <t>233407020330</t>
  </si>
  <si>
    <t>自动化2303</t>
  </si>
  <si>
    <t>自评评分表</t>
  </si>
  <si>
    <t>评价项目</t>
  </si>
  <si>
    <t>对应教学目标
/毕设指标点</t>
  </si>
  <si>
    <t>自评
得分</t>
  </si>
  <si>
    <t>参考
分值</t>
  </si>
  <si>
    <t>角色认知</t>
  </si>
  <si>
    <t>教学目标4 / 9-1</t>
  </si>
  <si>
    <t>能否清楚认识自己在团队中的角色，明确本人承担的设计、编程、调试、报告或汇报任务。</t>
  </si>
  <si>
    <t>职责履行</t>
  </si>
  <si>
    <t>是否按计划完成本人承担的任务，是否存在拖延、推诿或完成质量不足的问题。</t>
  </si>
  <si>
    <t>个人贡献</t>
  </si>
  <si>
    <t>本人是否对系统设计、程序实现、控制调试、结果分析或报告撰写有实质贡献。</t>
  </si>
  <si>
    <t>主动沟通</t>
  </si>
  <si>
    <t>教学目标5 / 9-2</t>
  </si>
  <si>
    <t>是否主动与团队成员交流任务进展、技术问题和工作需求。</t>
  </si>
  <si>
    <t>配合团队安排</t>
  </si>
  <si>
    <t>是否能够服从团队整体安排，并根据项目进度调整个人任务。</t>
  </si>
  <si>
    <t>协调与支持</t>
  </si>
  <si>
    <t>是否主动协助其他成员解决问题，促进任务衔接和团队推进。</t>
  </si>
  <si>
    <t>团队责任意识</t>
  </si>
  <si>
    <t>是否关注团队整体目标，维护团队合作氛围和项目完成质量。</t>
  </si>
  <si>
    <t>合计：</t>
  </si>
  <si>
    <t>自评分项统计</t>
  </si>
  <si>
    <t>教学目标</t>
  </si>
  <si>
    <t>对应指标点</t>
  </si>
  <si>
    <t>对应评价项目</t>
  </si>
  <si>
    <t>得分</t>
  </si>
  <si>
    <t>满分</t>
  </si>
  <si>
    <t>教学目标4</t>
  </si>
  <si>
    <t>9-1</t>
  </si>
  <si>
    <t>角色认知、职责履行、个人贡献</t>
  </si>
  <si>
    <t>教学目标5</t>
  </si>
  <si>
    <t>9-2</t>
  </si>
  <si>
    <t>主动沟通、配合团队安排、协调与支持、团队责任意识</t>
  </si>
  <si>
    <t>自评日期：</t>
  </si>
  <si>
    <t>填表说明：自评得分应为0至对应分值之间的整数；合计和分项统计由表格自动计算。</t>
  </si>
  <si>
    <t xml:space="preserve"> 团队评分计算方法：所有打分均为百分制，团队评分占课设总成绩权重为20%。
（1）团队负责人得分=负责人自评*40%+（成员对负责人评分累积和/成员人数）*60%
（2）成员得分=成员自评*40%+负责人对成员员的评分*60%</t>
  </si>
  <si>
    <r>
      <rPr>
        <b/>
        <u/>
        <sz val="18"/>
        <rFont val="Microsoft YaHei UI"/>
        <family val="2"/>
        <charset val="134"/>
      </rPr>
      <t>计算机控制综合课程设计</t>
    </r>
    <r>
      <rPr>
        <b/>
        <sz val="18"/>
        <rFont val="Microsoft YaHei UI"/>
        <family val="2"/>
        <charset val="134"/>
      </rPr>
      <t xml:space="preserve">  团队合作互评表</t>
    </r>
  </si>
  <si>
    <t>评价人</t>
  </si>
  <si>
    <t>被评价人</t>
  </si>
  <si>
    <t>张昕铖</t>
  </si>
  <si>
    <t>233407020328</t>
  </si>
  <si>
    <t>负责人评价成员 评分表</t>
  </si>
  <si>
    <t>互评分项统计</t>
  </si>
  <si>
    <t>互评日期：</t>
  </si>
  <si>
    <t>填表说明：互评得分应为0至对应分值之间的整数；合计和分项统计由表格自动计算。</t>
  </si>
  <si>
    <t>岳维澳</t>
  </si>
  <si>
    <t>233407020329</t>
  </si>
  <si>
    <t>成员评价负责人 评分表</t>
  </si>
  <si>
    <t>合计</t>
  </si>
  <si>
    <r>
      <rPr>
        <b/>
        <u/>
        <sz val="18"/>
        <color theme="1"/>
        <rFont val="黑体"/>
        <family val="3"/>
        <charset val="134"/>
      </rPr>
      <t>计算机控制综合课程设计</t>
    </r>
    <r>
      <rPr>
        <b/>
        <sz val="18"/>
        <color theme="1"/>
        <rFont val="黑体"/>
        <family val="3"/>
        <charset val="134"/>
      </rPr>
      <t xml:space="preserve"> 成绩评定单  </t>
    </r>
  </si>
  <si>
    <t xml:space="preserve">  成绩评定如下：</t>
  </si>
  <si>
    <t>分值</t>
  </si>
  <si>
    <t>加权分值</t>
  </si>
  <si>
    <t>过程评定</t>
  </si>
  <si>
    <t>详见课程设计过程评分表</t>
  </si>
  <si>
    <t>答辩评定</t>
  </si>
  <si>
    <t>详见课程设计答辩评分表</t>
  </si>
  <si>
    <t>团队评分</t>
  </si>
  <si>
    <t>详见团队合作自评互评表</t>
  </si>
  <si>
    <t>总成绩</t>
  </si>
  <si>
    <t>折合五级制成绩</t>
  </si>
  <si>
    <t>课程教学目标得分汇总</t>
  </si>
  <si>
    <t>课程目标</t>
  </si>
  <si>
    <t>目标分值</t>
  </si>
  <si>
    <t>评语：</t>
  </si>
  <si>
    <t xml:space="preserve">    经过程、答辩和团队综合评定，该同学课设完成情况达到了课设任务书要求，其答辩和课设论文也达到了专业课设论文的要求，故答辩组一致同意下列的成绩。</t>
  </si>
  <si>
    <t xml:space="preserve">课程设计成绩:               </t>
  </si>
  <si>
    <t>指导教师(签字):</t>
  </si>
  <si>
    <t>填表说明：表格内容是自动生成的，和课程负责人要求提交的表格形式一致。</t>
  </si>
  <si>
    <t>成绩</t>
  </si>
  <si>
    <t>目标1</t>
  </si>
  <si>
    <t>目标2</t>
  </si>
  <si>
    <t>目标4</t>
  </si>
  <si>
    <t>目标5</t>
  </si>
  <si>
    <t>目标6</t>
  </si>
  <si>
    <t>周恭瑾</t>
    <phoneticPr fontId="45" type="noConversion"/>
  </si>
  <si>
    <t xml:space="preserve">生化培养箱控制系统设计 </t>
  </si>
  <si>
    <t xml:space="preserve">生化培养箱控制系统设计 					</t>
    <phoneticPr fontId="4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</si>
</sst>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8" formatCode="0.000_ "/>
    <numFmt numFmtId="179" formatCode="0_ "/>
    <numFmt numFmtId="180" formatCode="0.0_ "/>
    <numFmt numFmtId="181" formatCode="0.00_ "/>
    <numFmt numFmtId="182" formatCode="yyyy&quot;年&quot;m&quot;月&quot;d&quot;日&quot;;@"/>
  </numFmts>
  <fonts count="48">
    <font>
      <sz val="11"/>
      <color theme="1"/>
      <name val="宋体"/>
      <charset val="134"/>
      <scheme val="minor"/>
    </font>
    <font>
      <sz val="12"/>
      <color theme="1"/>
      <name val="黑体"/>
      <charset val="134"/>
    </font>
    <font>
      <i/>
      <sz val="10"/>
      <color theme="8" tint="-0.249977111117893"/>
      <name val="黑体"/>
      <charset val="134"/>
    </font>
    <font>
      <sz val="14"/>
      <color theme="1"/>
      <name val="宋体"/>
      <charset val="134"/>
      <scheme val="minor"/>
    </font>
    <font>
      <b/>
      <sz val="18"/>
      <color theme="1"/>
      <name val="黑体"/>
      <charset val="134"/>
    </font>
    <font>
      <b/>
      <u/>
      <sz val="18"/>
      <color theme="1"/>
      <name val="黑体"/>
      <charset val="134"/>
    </font>
    <font>
      <b/>
      <sz val="12"/>
      <color theme="1"/>
      <name val="黑体"/>
      <charset val="134"/>
    </font>
    <font>
      <b/>
      <sz val="12"/>
      <color theme="1"/>
      <name val="黑体"/>
      <family val="3"/>
      <charset val="134"/>
    </font>
    <font>
      <b/>
      <sz val="12"/>
      <name val="黑体"/>
      <charset val="134"/>
    </font>
    <font>
      <sz val="14"/>
      <color theme="1"/>
      <name val="黑体"/>
      <charset val="134"/>
    </font>
    <font>
      <b/>
      <sz val="14"/>
      <color theme="1"/>
      <name val="黑体"/>
      <charset val="134"/>
    </font>
    <font>
      <sz val="11"/>
      <name val="Carlito"/>
      <family val="1"/>
    </font>
    <font>
      <b/>
      <u/>
      <sz val="18"/>
      <name val="Microsoft YaHei UI"/>
      <family val="2"/>
      <charset val="134"/>
    </font>
    <font>
      <b/>
      <sz val="18"/>
      <name val="宋体"/>
      <family val="3"/>
      <charset val="134"/>
    </font>
    <font>
      <sz val="12"/>
      <name val="黑体"/>
      <family val="3"/>
      <charset val="134"/>
    </font>
    <font>
      <sz val="18"/>
      <name val="黑体"/>
      <family val="3"/>
      <charset val="134"/>
    </font>
    <font>
      <b/>
      <sz val="16"/>
      <name val="方正公文小标宋"/>
      <charset val="134"/>
    </font>
    <font>
      <b/>
      <sz val="12"/>
      <color rgb="FFFFFFFF"/>
      <name val="黑体"/>
      <family val="3"/>
      <charset val="134"/>
    </font>
    <font>
      <sz val="11"/>
      <name val="宋体"/>
      <family val="3"/>
      <charset val="134"/>
    </font>
    <font>
      <b/>
      <sz val="11"/>
      <name val="宋体"/>
      <family val="3"/>
      <charset val="134"/>
    </font>
    <font>
      <b/>
      <sz val="11"/>
      <name val="Carlito"/>
      <family val="1"/>
    </font>
    <font>
      <b/>
      <sz val="11"/>
      <color rgb="FFFFFFFF"/>
      <name val="Carlito"/>
      <family val="1"/>
    </font>
    <font>
      <i/>
      <sz val="11"/>
      <color rgb="FF475569"/>
      <name val="黑体"/>
      <family val="3"/>
      <charset val="134"/>
    </font>
    <font>
      <b/>
      <u/>
      <sz val="18"/>
      <color theme="1"/>
      <name val="Microsoft YaHei UI"/>
      <family val="2"/>
      <charset val="134"/>
    </font>
    <font>
      <b/>
      <i/>
      <sz val="12"/>
      <color theme="8" tint="-0.249977111117893"/>
      <name val="黑体"/>
      <family val="3"/>
      <charset val="134"/>
    </font>
    <font>
      <b/>
      <i/>
      <u/>
      <sz val="12"/>
      <color theme="8" tint="-0.249977111117893"/>
      <name val="黑体"/>
      <family val="3"/>
      <charset val="134"/>
    </font>
    <font>
      <b/>
      <sz val="12"/>
      <name val="方正公文小标宋"/>
      <charset val="134"/>
    </font>
    <font>
      <sz val="12"/>
      <name val="宋体"/>
      <family val="3"/>
      <charset val="134"/>
      <scheme val="minor"/>
    </font>
    <font>
      <sz val="12"/>
      <color theme="1"/>
      <name val="宋体"/>
      <family val="3"/>
      <charset val="134"/>
      <scheme val="minor"/>
    </font>
    <font>
      <b/>
      <sz val="12"/>
      <color theme="1"/>
      <name val="方正公文小标宋"/>
      <charset val="134"/>
    </font>
    <font>
      <b/>
      <sz val="12"/>
      <color theme="1"/>
      <name val="Microsoft YaHei UI"/>
      <family val="2"/>
      <charset val="134"/>
    </font>
    <font>
      <b/>
      <sz val="14"/>
      <color theme="1"/>
      <name val="宋体"/>
      <family val="3"/>
      <charset val="134"/>
      <scheme val="minor"/>
    </font>
    <font>
      <sz val="12"/>
      <color theme="1"/>
      <name val="Microsoft YaHei UI"/>
      <family val="2"/>
      <charset val="134"/>
    </font>
    <font>
      <b/>
      <sz val="14"/>
      <color theme="1"/>
      <name val="Microsoft YaHei UI"/>
      <family val="2"/>
      <charset val="134"/>
    </font>
    <font>
      <u/>
      <sz val="10"/>
      <color theme="1"/>
      <name val="黑体"/>
      <family val="3"/>
      <charset val="134"/>
    </font>
    <font>
      <sz val="11"/>
      <color theme="1"/>
      <name val="黑体"/>
      <family val="3"/>
      <charset val="134"/>
    </font>
    <font>
      <sz val="10"/>
      <color theme="1"/>
      <name val="黑体"/>
      <family val="3"/>
      <charset val="134"/>
    </font>
    <font>
      <b/>
      <sz val="14"/>
      <color theme="1"/>
      <name val="方正公文小标宋"/>
      <charset val="134"/>
    </font>
    <font>
      <sz val="11"/>
      <name val="黑体"/>
      <family val="3"/>
      <charset val="134"/>
    </font>
    <font>
      <b/>
      <sz val="10"/>
      <color theme="1"/>
      <name val="方正公文小标宋"/>
      <charset val="134"/>
    </font>
    <font>
      <sz val="10"/>
      <color rgb="FFFF0000"/>
      <name val="黑体"/>
      <family val="3"/>
      <charset val="134"/>
    </font>
    <font>
      <b/>
      <sz val="18"/>
      <name val="Microsoft YaHei UI"/>
      <family val="2"/>
      <charset val="134"/>
    </font>
    <font>
      <b/>
      <sz val="18"/>
      <color theme="1"/>
      <name val="Microsoft YaHei UI"/>
      <family val="2"/>
      <charset val="134"/>
    </font>
    <font>
      <b/>
      <u/>
      <sz val="18"/>
      <color theme="1"/>
      <name val="黑体"/>
      <family val="3"/>
      <charset val="134"/>
    </font>
    <font>
      <b/>
      <sz val="18"/>
      <color theme="1"/>
      <name val="黑体"/>
      <family val="3"/>
      <charset val="134"/>
    </font>
    <font>
      <sz val="9"/>
      <name val="宋体"/>
      <family val="3"/>
      <charset val="134"/>
      <scheme val="minor"/>
    </font>
    <font>
      <b/>
      <sz val="12"/>
      <name val="黑体"/>
      <family val="3"/>
      <charset val="134"/>
    </font>
    <font>
      <b/>
      <sz val="12"/>
      <color rgb="FF000000"/>
      <name val="黑体"/>
      <family val="3"/>
      <charset val="134"/>
    </font>
  </fonts>
  <fills count="8">
    <fill>
      <patternFill patternType="none"/>
    </fill>
    <fill>
      <patternFill patternType="gray125"/>
    </fill>
    <fill>
      <patternFill patternType="solid">
        <fgColor theme="9" tint="0.79998168889431442"/>
        <bgColor indexed="64"/>
      </patternFill>
    </fill>
    <fill>
      <patternFill patternType="solid">
        <fgColor rgb="FFF8FAFC"/>
        <bgColor indexed="64"/>
      </patternFill>
    </fill>
    <fill>
      <patternFill patternType="solid">
        <fgColor rgb="FFF1F5F9"/>
        <bgColor indexed="64"/>
      </patternFill>
    </fill>
    <fill>
      <patternFill patternType="solid">
        <fgColor rgb="FF1F4E78"/>
        <bgColor indexed="64"/>
      </patternFill>
    </fill>
    <fill>
      <patternFill patternType="solid">
        <fgColor theme="5" tint="0.79998168889431442"/>
        <bgColor indexed="64"/>
      </patternFill>
    </fill>
    <fill>
      <patternFill patternType="solid">
        <fgColor theme="4" tint="0.79998168889431442"/>
        <bgColor indexed="64"/>
      </patternFill>
    </fill>
  </fills>
  <borders count="2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top/>
      <bottom style="thin">
        <color rgb="FFE5E7EB"/>
      </bottom>
      <diagonal/>
    </border>
    <border>
      <left/>
      <right style="thin">
        <color rgb="FFE5E7EB"/>
      </right>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top style="thin">
        <color rgb="FFE5E7EB"/>
      </top>
      <bottom style="thin">
        <color rgb="FFE5E7EB"/>
      </bottom>
      <diagonal/>
    </border>
    <border>
      <left/>
      <right style="thin">
        <color rgb="FFE5E7EB"/>
      </right>
      <top style="thin">
        <color rgb="FFE5E7EB"/>
      </top>
      <bottom style="thin">
        <color rgb="FFE5E7EB"/>
      </bottom>
      <diagonal/>
    </border>
    <border>
      <left style="thin">
        <color theme="1"/>
      </left>
      <right style="thin">
        <color theme="1"/>
      </right>
      <top style="thin">
        <color theme="1"/>
      </top>
      <bottom style="thin">
        <color theme="1"/>
      </bottom>
      <diagonal/>
    </border>
    <border>
      <left style="thin">
        <color rgb="FFCBD5E1"/>
      </left>
      <right style="thin">
        <color rgb="FFCBD5E1"/>
      </right>
      <top/>
      <bottom style="thin">
        <color rgb="FFCBD5E1"/>
      </bottom>
      <diagonal/>
    </border>
    <border>
      <left style="thin">
        <color rgb="FFE5E7EB"/>
      </left>
      <right style="thin">
        <color rgb="FFE5E7EB"/>
      </right>
      <top/>
      <bottom/>
      <diagonal/>
    </border>
    <border>
      <left style="thin">
        <color rgb="FFCBD5E1"/>
      </left>
      <right/>
      <top/>
      <bottom style="thin">
        <color rgb="FFCBD5E1"/>
      </bottom>
      <diagonal/>
    </border>
    <border>
      <left/>
      <right/>
      <top/>
      <bottom style="thin">
        <color rgb="FFCBD5E1"/>
      </bottom>
      <diagonal/>
    </border>
    <border>
      <left/>
      <right style="thin">
        <color rgb="FFCBD5E1"/>
      </right>
      <top/>
      <bottom style="thin">
        <color rgb="FFCBD5E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double">
        <color auto="1"/>
      </left>
      <right style="double">
        <color auto="1"/>
      </right>
      <top style="double">
        <color auto="1"/>
      </top>
      <bottom style="double">
        <color auto="1"/>
      </bottom>
      <diagonal/>
    </border>
  </borders>
  <cellStyleXfs count="2">
    <xf numFmtId="0" fontId="0" fillId="0" borderId="0">
      <alignment vertical="center"/>
    </xf>
    <xf numFmtId="0" fontId="11" fillId="0" borderId="0"/>
  </cellStyleXfs>
  <cellXfs count="278">
    <xf numFmtId="0" fontId="0" fillId="0" borderId="0" xfId="0">
      <alignment vertical="center"/>
    </xf>
    <xf numFmtId="0" fontId="0" fillId="0" borderId="0" xfId="0" applyProtection="1">
      <alignment vertical="center"/>
      <protection locked="0"/>
    </xf>
    <xf numFmtId="0" fontId="1" fillId="0" borderId="0" xfId="0" applyFont="1" applyAlignment="1">
      <alignment horizontal="center" vertical="center"/>
    </xf>
    <xf numFmtId="0" fontId="1" fillId="0" borderId="0" xfId="0" applyFont="1">
      <alignment vertical="center"/>
    </xf>
    <xf numFmtId="178" fontId="1" fillId="0" borderId="0" xfId="0" applyNumberFormat="1" applyFont="1">
      <alignment vertical="center"/>
    </xf>
    <xf numFmtId="178" fontId="1" fillId="0" borderId="0" xfId="0" applyNumberFormat="1" applyFont="1" applyAlignment="1">
      <alignment horizontal="center" vertical="center"/>
    </xf>
    <xf numFmtId="0" fontId="1" fillId="2" borderId="1" xfId="0" applyFont="1" applyFill="1" applyBorder="1" applyAlignment="1" applyProtection="1">
      <alignment horizontal="center" vertical="center"/>
      <protection hidden="1"/>
    </xf>
    <xf numFmtId="178" fontId="1" fillId="2" borderId="1" xfId="0" applyNumberFormat="1" applyFont="1" applyFill="1" applyBorder="1" applyAlignment="1" applyProtection="1">
      <alignment horizontal="center" vertical="center"/>
      <protection hidden="1"/>
    </xf>
    <xf numFmtId="0" fontId="1" fillId="0" borderId="0" xfId="0" applyFont="1" applyAlignment="1" applyProtection="1">
      <alignment horizontal="center" vertical="center"/>
      <protection locked="0"/>
    </xf>
    <xf numFmtId="0" fontId="1" fillId="0" borderId="1" xfId="0" applyFont="1" applyBorder="1" applyAlignment="1" applyProtection="1">
      <alignment horizontal="center" vertical="center"/>
      <protection hidden="1"/>
    </xf>
    <xf numFmtId="178" fontId="1" fillId="0" borderId="1" xfId="0" applyNumberFormat="1" applyFont="1" applyBorder="1" applyAlignment="1" applyProtection="1">
      <alignment horizontal="center" vertical="center"/>
      <protection hidden="1"/>
    </xf>
    <xf numFmtId="0" fontId="1" fillId="0" borderId="1" xfId="0" applyFont="1" applyBorder="1" applyAlignment="1" applyProtection="1">
      <alignment horizontal="left" vertical="center"/>
      <protection hidden="1"/>
    </xf>
    <xf numFmtId="0" fontId="3" fillId="0" borderId="0" xfId="0" applyFont="1" applyAlignment="1" applyProtection="1">
      <alignment horizontal="center" vertical="center"/>
      <protection hidden="1"/>
    </xf>
    <xf numFmtId="0" fontId="0" fillId="0" borderId="0" xfId="0" applyAlignment="1" applyProtection="1">
      <alignment horizontal="center" vertical="center"/>
      <protection hidden="1"/>
    </xf>
    <xf numFmtId="0" fontId="0" fillId="0" borderId="0" xfId="0" applyProtection="1">
      <alignment vertical="center"/>
      <protection hidden="1"/>
    </xf>
    <xf numFmtId="0" fontId="7" fillId="0" borderId="2" xfId="0" applyFont="1" applyBorder="1" applyAlignment="1" applyProtection="1">
      <alignment horizontal="center" vertical="center"/>
      <protection hidden="1"/>
    </xf>
    <xf numFmtId="0" fontId="7" fillId="0" borderId="0" xfId="0" applyFont="1" applyProtection="1">
      <alignment vertical="center"/>
      <protection hidden="1"/>
    </xf>
    <xf numFmtId="0" fontId="6" fillId="0" borderId="2" xfId="0" applyFont="1" applyBorder="1" applyAlignment="1" applyProtection="1">
      <alignment horizontal="center" vertical="center"/>
      <protection hidden="1"/>
    </xf>
    <xf numFmtId="0" fontId="8" fillId="0" borderId="2" xfId="0" applyFont="1" applyBorder="1" applyAlignment="1" applyProtection="1">
      <alignment horizontal="center" vertical="center"/>
      <protection hidden="1"/>
    </xf>
    <xf numFmtId="0" fontId="9" fillId="0" borderId="0" xfId="0" applyFont="1" applyAlignment="1" applyProtection="1">
      <alignment horizontal="right"/>
      <protection hidden="1"/>
    </xf>
    <xf numFmtId="0" fontId="9" fillId="0" borderId="0" xfId="0" applyFont="1" applyAlignment="1" applyProtection="1">
      <alignment horizontal="center"/>
      <protection hidden="1"/>
    </xf>
    <xf numFmtId="0" fontId="1" fillId="0" borderId="0" xfId="0" applyFont="1" applyProtection="1">
      <alignment vertical="center"/>
      <protection hidden="1"/>
    </xf>
    <xf numFmtId="0" fontId="6" fillId="0" borderId="1" xfId="0" applyFont="1" applyBorder="1" applyAlignment="1" applyProtection="1">
      <alignment horizontal="center" vertical="center"/>
      <protection hidden="1"/>
    </xf>
    <xf numFmtId="0" fontId="1" fillId="0" borderId="1" xfId="0" applyFont="1" applyBorder="1" applyAlignment="1" applyProtection="1">
      <alignment horizontal="center" vertical="center" wrapText="1"/>
      <protection hidden="1"/>
    </xf>
    <xf numFmtId="181" fontId="6" fillId="0" borderId="1" xfId="0" applyNumberFormat="1" applyFont="1" applyBorder="1" applyAlignment="1" applyProtection="1">
      <alignment horizontal="center" vertical="center"/>
      <protection hidden="1"/>
    </xf>
    <xf numFmtId="180" fontId="1" fillId="0" borderId="1" xfId="0" applyNumberFormat="1" applyFont="1" applyBorder="1" applyAlignment="1" applyProtection="1">
      <alignment horizontal="center" vertical="center" wrapText="1"/>
      <protection hidden="1"/>
    </xf>
    <xf numFmtId="178" fontId="6" fillId="0" borderId="1" xfId="0" applyNumberFormat="1"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180" fontId="1" fillId="0" borderId="0" xfId="0" applyNumberFormat="1" applyFont="1" applyAlignment="1" applyProtection="1">
      <alignment horizontal="center" vertical="center" wrapText="1"/>
      <protection hidden="1"/>
    </xf>
    <xf numFmtId="0" fontId="1" fillId="0" borderId="0" xfId="0" applyFont="1" applyAlignment="1" applyProtection="1">
      <alignment horizontal="right" wrapText="1"/>
      <protection hidden="1"/>
    </xf>
    <xf numFmtId="180" fontId="1" fillId="0" borderId="0" xfId="0" applyNumberFormat="1" applyFont="1" applyAlignment="1" applyProtection="1">
      <alignment vertical="center" wrapText="1"/>
      <protection hidden="1"/>
    </xf>
    <xf numFmtId="178" fontId="1" fillId="0" borderId="0" xfId="0" applyNumberFormat="1" applyFont="1" applyAlignment="1" applyProtection="1">
      <alignment horizontal="center" vertical="center" wrapText="1"/>
      <protection hidden="1"/>
    </xf>
    <xf numFmtId="0" fontId="11" fillId="0" borderId="0" xfId="1"/>
    <xf numFmtId="0" fontId="8" fillId="3" borderId="10" xfId="1" applyFont="1" applyFill="1" applyBorder="1" applyAlignment="1">
      <alignment vertical="center"/>
    </xf>
    <xf numFmtId="0" fontId="8" fillId="0" borderId="12" xfId="1" applyFont="1" applyBorder="1" applyAlignment="1">
      <alignment horizontal="right" vertical="center"/>
    </xf>
    <xf numFmtId="0" fontId="8" fillId="3" borderId="14" xfId="1" applyFont="1" applyFill="1" applyBorder="1" applyAlignment="1">
      <alignment vertical="center"/>
    </xf>
    <xf numFmtId="0" fontId="8" fillId="0" borderId="15" xfId="1" applyFont="1" applyBorder="1" applyAlignment="1">
      <alignment vertical="center"/>
    </xf>
    <xf numFmtId="0" fontId="8" fillId="0" borderId="16" xfId="1" applyFont="1" applyBorder="1" applyAlignment="1">
      <alignment horizontal="right" vertical="center"/>
    </xf>
    <xf numFmtId="0" fontId="8" fillId="0" borderId="16" xfId="1" applyFont="1" applyBorder="1" applyAlignment="1">
      <alignment vertical="center"/>
    </xf>
    <xf numFmtId="0" fontId="17" fillId="5" borderId="18" xfId="1" applyFont="1" applyFill="1" applyBorder="1" applyAlignment="1">
      <alignment horizontal="center" vertical="center"/>
    </xf>
    <xf numFmtId="0" fontId="17" fillId="5" borderId="18" xfId="1" applyFont="1" applyFill="1" applyBorder="1" applyAlignment="1">
      <alignment horizontal="center" vertical="center" wrapText="1"/>
    </xf>
    <xf numFmtId="0" fontId="11" fillId="0" borderId="18" xfId="1" applyBorder="1" applyAlignment="1">
      <alignment horizontal="center" vertical="center" wrapText="1"/>
    </xf>
    <xf numFmtId="1" fontId="11" fillId="6" borderId="18" xfId="1" applyNumberFormat="1" applyFill="1" applyBorder="1" applyAlignment="1">
      <alignment horizontal="center" vertical="center" wrapText="1"/>
    </xf>
    <xf numFmtId="1" fontId="11" fillId="0" borderId="18" xfId="1" applyNumberFormat="1" applyBorder="1" applyAlignment="1">
      <alignment horizontal="center" vertical="center" wrapText="1"/>
    </xf>
    <xf numFmtId="1" fontId="20" fillId="0" borderId="19" xfId="1" applyNumberFormat="1" applyFont="1" applyBorder="1" applyAlignment="1">
      <alignment horizontal="center" vertical="center"/>
    </xf>
    <xf numFmtId="1" fontId="11" fillId="0" borderId="0" xfId="1" applyNumberFormat="1"/>
    <xf numFmtId="0" fontId="21" fillId="5" borderId="18" xfId="1" applyFont="1" applyFill="1" applyBorder="1" applyAlignment="1">
      <alignment horizontal="center" vertical="center"/>
    </xf>
    <xf numFmtId="1" fontId="21" fillId="5" borderId="18" xfId="1" applyNumberFormat="1" applyFont="1" applyFill="1" applyBorder="1" applyAlignment="1">
      <alignment horizontal="center" vertical="center"/>
    </xf>
    <xf numFmtId="0" fontId="8" fillId="0" borderId="0" xfId="1" applyFont="1" applyAlignment="1">
      <alignment vertical="center"/>
    </xf>
    <xf numFmtId="0" fontId="14" fillId="0" borderId="0" xfId="1" applyFont="1" applyAlignment="1">
      <alignment vertical="center"/>
    </xf>
    <xf numFmtId="1" fontId="20" fillId="0" borderId="0" xfId="1" applyNumberFormat="1" applyFont="1" applyAlignment="1">
      <alignment horizontal="center" vertical="center"/>
    </xf>
    <xf numFmtId="0" fontId="8" fillId="0" borderId="10" xfId="1" applyFont="1" applyBorder="1" applyAlignment="1">
      <alignment vertical="center"/>
    </xf>
    <xf numFmtId="0" fontId="14" fillId="0" borderId="11" xfId="1" applyFont="1" applyBorder="1" applyAlignment="1">
      <alignment vertical="center"/>
    </xf>
    <xf numFmtId="0" fontId="14" fillId="0" borderId="12" xfId="1" applyFont="1" applyBorder="1" applyAlignment="1">
      <alignment vertical="center"/>
    </xf>
    <xf numFmtId="0" fontId="17" fillId="5" borderId="1" xfId="1" applyFont="1" applyFill="1" applyBorder="1" applyAlignment="1">
      <alignment horizontal="center" vertical="center"/>
    </xf>
    <xf numFmtId="0" fontId="17" fillId="5" borderId="1" xfId="1" applyFont="1" applyFill="1" applyBorder="1" applyAlignment="1">
      <alignment horizontal="center" vertical="center" wrapText="1"/>
    </xf>
    <xf numFmtId="0" fontId="11" fillId="0" borderId="1" xfId="1" applyBorder="1" applyAlignment="1">
      <alignment horizontal="center" vertical="center" wrapText="1"/>
    </xf>
    <xf numFmtId="1" fontId="11" fillId="6" borderId="1" xfId="1" applyNumberFormat="1" applyFill="1" applyBorder="1" applyAlignment="1">
      <alignment horizontal="center" vertical="center" wrapText="1"/>
    </xf>
    <xf numFmtId="1" fontId="11" fillId="0" borderId="1" xfId="1" applyNumberFormat="1" applyBorder="1" applyAlignment="1">
      <alignment horizontal="center" vertical="center" wrapText="1"/>
    </xf>
    <xf numFmtId="0" fontId="8" fillId="0" borderId="11" xfId="1" applyFont="1" applyBorder="1" applyAlignment="1">
      <alignment horizontal="center" vertical="center"/>
    </xf>
    <xf numFmtId="0" fontId="8" fillId="0" borderId="12" xfId="1" applyFont="1" applyBorder="1" applyAlignment="1">
      <alignment horizontal="center" vertical="center"/>
    </xf>
    <xf numFmtId="0" fontId="8" fillId="3" borderId="14" xfId="1" applyFont="1" applyFill="1" applyBorder="1" applyAlignment="1">
      <alignment horizontal="center" vertical="center" wrapText="1"/>
    </xf>
    <xf numFmtId="0" fontId="26" fillId="0" borderId="1" xfId="0" applyFont="1" applyBorder="1" applyAlignment="1" applyProtection="1">
      <alignment horizontal="center" vertical="center"/>
      <protection hidden="1"/>
    </xf>
    <xf numFmtId="0" fontId="14" fillId="0" borderId="1" xfId="0" applyFont="1" applyBorder="1" applyAlignment="1" applyProtection="1">
      <alignment horizontal="center" vertical="center"/>
      <protection hidden="1"/>
    </xf>
    <xf numFmtId="0" fontId="28" fillId="0" borderId="0" xfId="0" applyFont="1" applyAlignment="1" applyProtection="1">
      <alignment horizontal="center" vertical="center"/>
      <protection hidden="1"/>
    </xf>
    <xf numFmtId="0" fontId="28" fillId="0" borderId="0" xfId="0" applyFont="1" applyProtection="1">
      <alignment vertical="center"/>
      <protection hidden="1"/>
    </xf>
    <xf numFmtId="0" fontId="29" fillId="0" borderId="3" xfId="0" applyFont="1" applyBorder="1" applyAlignment="1" applyProtection="1">
      <alignment horizontal="center" vertical="center" wrapText="1"/>
      <protection hidden="1"/>
    </xf>
    <xf numFmtId="0" fontId="30" fillId="0" borderId="7" xfId="0" applyFont="1" applyBorder="1" applyAlignment="1" applyProtection="1">
      <alignment horizontal="center" vertical="center" wrapText="1"/>
      <protection hidden="1"/>
    </xf>
    <xf numFmtId="0" fontId="30" fillId="6" borderId="27" xfId="0" applyFont="1" applyFill="1" applyBorder="1" applyAlignment="1">
      <alignment horizontal="center" vertical="center" wrapText="1"/>
    </xf>
    <xf numFmtId="0" fontId="30" fillId="0" borderId="8" xfId="0" applyFont="1" applyBorder="1" applyAlignment="1" applyProtection="1">
      <alignment horizontal="center" vertical="center" wrapText="1"/>
      <protection hidden="1"/>
    </xf>
    <xf numFmtId="181" fontId="10" fillId="0" borderId="1" xfId="0" applyNumberFormat="1" applyFont="1" applyBorder="1" applyAlignment="1" applyProtection="1">
      <alignment horizontal="center" vertical="center" wrapText="1"/>
      <protection hidden="1"/>
    </xf>
    <xf numFmtId="0" fontId="31" fillId="0" borderId="0" xfId="0" applyFont="1" applyAlignment="1" applyProtection="1">
      <alignment horizontal="justify" vertical="center" wrapText="1"/>
      <protection hidden="1"/>
    </xf>
    <xf numFmtId="0" fontId="0" fillId="0" borderId="0" xfId="0" applyAlignment="1" applyProtection="1">
      <alignment vertical="center" wrapText="1"/>
      <protection hidden="1"/>
    </xf>
    <xf numFmtId="0" fontId="32" fillId="0" borderId="0" xfId="0" applyFont="1" applyAlignment="1" applyProtection="1">
      <alignment horizontal="left" vertical="center" wrapText="1"/>
      <protection hidden="1"/>
    </xf>
    <xf numFmtId="0" fontId="33" fillId="0" borderId="0" xfId="0" applyFont="1" applyAlignment="1">
      <alignment vertical="center" wrapText="1"/>
    </xf>
    <xf numFmtId="0" fontId="3"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0" fontId="1" fillId="0" borderId="0" xfId="0" applyFont="1" applyAlignment="1" applyProtection="1">
      <alignment horizontal="center" vertical="center"/>
      <protection hidden="1"/>
    </xf>
    <xf numFmtId="0" fontId="30" fillId="6" borderId="27" xfId="0" applyFont="1" applyFill="1" applyBorder="1" applyAlignment="1" applyProtection="1">
      <alignment horizontal="center" vertical="center" wrapText="1"/>
      <protection locked="0"/>
    </xf>
    <xf numFmtId="0" fontId="10" fillId="0" borderId="0" xfId="0" applyFont="1" applyAlignment="1" applyProtection="1">
      <alignment horizontal="justify" vertical="center" wrapText="1"/>
      <protection hidden="1"/>
    </xf>
    <xf numFmtId="0" fontId="35" fillId="0" borderId="0" xfId="0" applyFont="1" applyAlignment="1" applyProtection="1">
      <alignment vertical="center" wrapText="1"/>
      <protection hidden="1"/>
    </xf>
    <xf numFmtId="0" fontId="7" fillId="0" borderId="2" xfId="0" applyFont="1" applyBorder="1" applyAlignment="1" applyProtection="1">
      <alignment horizontal="center" vertical="center"/>
      <protection locked="0"/>
    </xf>
    <xf numFmtId="0" fontId="7" fillId="0" borderId="0" xfId="0" applyFont="1" applyProtection="1">
      <alignment vertical="center"/>
      <protection locked="0"/>
    </xf>
    <xf numFmtId="0" fontId="6" fillId="0" borderId="2" xfId="0" applyFont="1" applyBorder="1" applyAlignment="1" applyProtection="1">
      <alignment horizontal="center" vertical="center"/>
      <protection locked="0"/>
    </xf>
    <xf numFmtId="0" fontId="8" fillId="0" borderId="2" xfId="0" applyFont="1" applyBorder="1" applyAlignment="1" applyProtection="1">
      <alignment horizontal="center" vertical="center"/>
      <protection locked="0"/>
    </xf>
    <xf numFmtId="0" fontId="1" fillId="0" borderId="0" xfId="0" applyFont="1" applyProtection="1">
      <alignment vertical="center"/>
      <protection locked="0"/>
    </xf>
    <xf numFmtId="0" fontId="29" fillId="0" borderId="3" xfId="0" applyFont="1" applyBorder="1" applyAlignment="1" applyProtection="1">
      <alignment horizontal="center" vertical="center" wrapText="1"/>
      <protection locked="0"/>
    </xf>
    <xf numFmtId="0" fontId="1" fillId="0" borderId="1" xfId="0" applyFont="1" applyBorder="1" applyAlignment="1" applyProtection="1">
      <alignment horizontal="center" vertical="center" wrapText="1"/>
      <protection locked="0"/>
    </xf>
    <xf numFmtId="0" fontId="30" fillId="0" borderId="7" xfId="0" applyFont="1" applyBorder="1" applyAlignment="1" applyProtection="1">
      <alignment horizontal="center" vertical="center" wrapText="1"/>
      <protection locked="0"/>
    </xf>
    <xf numFmtId="0" fontId="30" fillId="0" borderId="8" xfId="0" applyFont="1" applyBorder="1" applyAlignment="1" applyProtection="1">
      <alignment horizontal="center" vertical="center" wrapText="1"/>
      <protection locked="0"/>
    </xf>
    <xf numFmtId="181" fontId="10" fillId="0" borderId="1" xfId="0" applyNumberFormat="1" applyFont="1" applyBorder="1" applyAlignment="1" applyProtection="1">
      <alignment horizontal="center" vertical="center" wrapText="1"/>
      <protection locked="0"/>
    </xf>
    <xf numFmtId="0" fontId="10" fillId="0" borderId="0" xfId="0" applyFont="1" applyAlignment="1" applyProtection="1">
      <alignment horizontal="justify" vertical="center" wrapText="1"/>
      <protection locked="0"/>
    </xf>
    <xf numFmtId="0" fontId="35" fillId="0" borderId="0" xfId="0" applyFont="1" applyAlignment="1" applyProtection="1">
      <alignment vertical="center" wrapText="1"/>
      <protection locked="0"/>
    </xf>
    <xf numFmtId="0" fontId="36" fillId="0" borderId="0" xfId="0" applyFont="1">
      <alignment vertical="center"/>
    </xf>
    <xf numFmtId="0" fontId="1" fillId="7" borderId="1" xfId="0" applyFont="1" applyFill="1" applyBorder="1" applyAlignment="1" applyProtection="1">
      <alignment horizontal="center" vertical="center"/>
      <protection locked="0"/>
    </xf>
    <xf numFmtId="0" fontId="1" fillId="0" borderId="1" xfId="0" applyFont="1" applyBorder="1" applyAlignment="1">
      <alignment horizontal="center" vertical="center"/>
    </xf>
    <xf numFmtId="0" fontId="6" fillId="7" borderId="1" xfId="0" applyFont="1" applyFill="1" applyBorder="1" applyAlignment="1" applyProtection="1">
      <alignment horizontal="center" vertical="center" wrapText="1"/>
      <protection locked="0"/>
    </xf>
    <xf numFmtId="0" fontId="35" fillId="7" borderId="1" xfId="0" applyFont="1" applyFill="1" applyBorder="1" applyAlignment="1" applyProtection="1">
      <alignment horizontal="center" vertical="center" wrapText="1"/>
      <protection locked="0"/>
    </xf>
    <xf numFmtId="0" fontId="38" fillId="6" borderId="1" xfId="0" applyFont="1" applyFill="1" applyBorder="1" applyAlignment="1" applyProtection="1">
      <alignment horizontal="center" vertical="center" wrapText="1"/>
      <protection locked="0"/>
    </xf>
    <xf numFmtId="0" fontId="35" fillId="0" borderId="1" xfId="0" applyFont="1" applyBorder="1" applyAlignment="1">
      <alignment horizontal="center" vertical="center" wrapText="1"/>
    </xf>
    <xf numFmtId="0" fontId="35" fillId="0" borderId="1" xfId="0" applyFont="1" applyBorder="1" applyAlignment="1">
      <alignment horizontal="center" vertical="center"/>
    </xf>
    <xf numFmtId="0" fontId="1" fillId="7" borderId="3" xfId="0" applyFont="1" applyFill="1" applyBorder="1" applyAlignment="1" applyProtection="1">
      <alignment horizontal="center" vertical="center"/>
      <protection locked="0"/>
    </xf>
    <xf numFmtId="0" fontId="36" fillId="0" borderId="0" xfId="0" applyFont="1" applyAlignment="1">
      <alignment horizontal="center" vertical="center"/>
    </xf>
    <xf numFmtId="0" fontId="39" fillId="7" borderId="1" xfId="0" applyFont="1" applyFill="1" applyBorder="1" applyAlignment="1">
      <alignment horizontal="center" vertical="center"/>
    </xf>
    <xf numFmtId="0" fontId="36" fillId="7" borderId="1" xfId="0" applyFont="1" applyFill="1" applyBorder="1" applyAlignment="1">
      <alignment horizontal="center" vertical="center"/>
    </xf>
    <xf numFmtId="182" fontId="36" fillId="7" borderId="1" xfId="0" applyNumberFormat="1" applyFont="1" applyFill="1" applyBorder="1" applyAlignment="1">
      <alignment horizontal="center" vertical="center"/>
    </xf>
    <xf numFmtId="0" fontId="40" fillId="7" borderId="1" xfId="0" applyFont="1" applyFill="1" applyBorder="1" applyAlignment="1">
      <alignment horizontal="center" vertical="center"/>
    </xf>
    <xf numFmtId="0" fontId="40" fillId="7" borderId="1" xfId="0" applyFont="1" applyFill="1" applyBorder="1" applyAlignment="1">
      <alignment horizontal="center" vertical="center" wrapText="1"/>
    </xf>
    <xf numFmtId="49" fontId="38" fillId="6" borderId="1" xfId="0" quotePrefix="1" applyNumberFormat="1" applyFont="1" applyFill="1" applyBorder="1" applyAlignment="1" applyProtection="1">
      <alignment horizontal="center" vertical="center" wrapText="1"/>
      <protection locked="0"/>
    </xf>
    <xf numFmtId="0" fontId="8" fillId="0" borderId="16" xfId="1" quotePrefix="1" applyFont="1" applyBorder="1" applyAlignment="1">
      <alignment vertical="center"/>
    </xf>
    <xf numFmtId="0" fontId="1" fillId="0" borderId="1" xfId="0" quotePrefix="1" applyFont="1" applyBorder="1" applyAlignment="1" applyProtection="1">
      <alignment horizontal="center" vertical="center"/>
      <protection hidden="1"/>
    </xf>
    <xf numFmtId="0" fontId="12" fillId="0" borderId="0" xfId="1" applyFont="1" applyAlignment="1">
      <alignment horizontal="center" vertical="center"/>
    </xf>
    <xf numFmtId="0" fontId="13" fillId="0" borderId="0" xfId="1" applyFont="1" applyAlignment="1">
      <alignment horizontal="center" vertical="center"/>
    </xf>
    <xf numFmtId="0" fontId="14" fillId="0" borderId="0" xfId="1" applyFont="1" applyAlignment="1">
      <alignment horizontal="left" vertical="center" wrapText="1"/>
    </xf>
    <xf numFmtId="0" fontId="15" fillId="0" borderId="0" xfId="1" applyFont="1" applyAlignment="1">
      <alignment horizontal="left" vertical="center"/>
    </xf>
    <xf numFmtId="0" fontId="8" fillId="0" borderId="11" xfId="1" applyFont="1" applyBorder="1" applyAlignment="1">
      <alignment horizontal="left" vertical="center"/>
    </xf>
    <xf numFmtId="0" fontId="8" fillId="0" borderId="12" xfId="1" applyFont="1" applyBorder="1" applyAlignment="1">
      <alignment horizontal="left" vertical="center"/>
    </xf>
    <xf numFmtId="0" fontId="8" fillId="0" borderId="12" xfId="1" quotePrefix="1" applyFont="1" applyBorder="1" applyAlignment="1">
      <alignment horizontal="left" vertical="center"/>
    </xf>
    <xf numFmtId="0" fontId="8" fillId="0" borderId="13" xfId="1" applyFont="1" applyBorder="1" applyAlignment="1">
      <alignment horizontal="left" vertical="center"/>
    </xf>
    <xf numFmtId="0" fontId="8" fillId="0" borderId="15" xfId="1" applyFont="1" applyBorder="1" applyAlignment="1">
      <alignment horizontal="left" vertical="center"/>
    </xf>
    <xf numFmtId="0" fontId="8" fillId="0" borderId="16" xfId="1" applyFont="1" applyBorder="1" applyAlignment="1">
      <alignment horizontal="left" vertical="center"/>
    </xf>
    <xf numFmtId="0" fontId="8" fillId="0" borderId="17" xfId="1" applyFont="1" applyBorder="1" applyAlignment="1">
      <alignment horizontal="left" vertical="center"/>
    </xf>
    <xf numFmtId="0" fontId="8" fillId="0" borderId="16" xfId="1" applyFont="1" applyBorder="1" applyAlignment="1">
      <alignment horizontal="center" vertical="center"/>
    </xf>
    <xf numFmtId="0" fontId="8" fillId="0" borderId="17" xfId="1" applyFont="1" applyBorder="1" applyAlignment="1">
      <alignment horizontal="center" vertical="center"/>
    </xf>
    <xf numFmtId="0" fontId="16" fillId="4" borderId="0" xfId="1" applyFont="1" applyFill="1" applyAlignment="1">
      <alignment horizontal="center" vertical="center"/>
    </xf>
    <xf numFmtId="0" fontId="17" fillId="5" borderId="18" xfId="1" applyFont="1" applyFill="1" applyBorder="1" applyAlignment="1">
      <alignment horizontal="center" vertical="center"/>
    </xf>
    <xf numFmtId="0" fontId="18" fillId="0" borderId="18" xfId="1" applyFont="1" applyBorder="1" applyAlignment="1">
      <alignment horizontal="left" vertical="center" wrapText="1"/>
    </xf>
    <xf numFmtId="0" fontId="19" fillId="0" borderId="19" xfId="1" applyFont="1" applyBorder="1" applyAlignment="1">
      <alignment horizontal="right" vertical="center"/>
    </xf>
    <xf numFmtId="0" fontId="20" fillId="0" borderId="19" xfId="1" applyFont="1" applyBorder="1" applyAlignment="1">
      <alignment horizontal="right" vertical="center"/>
    </xf>
    <xf numFmtId="0" fontId="21" fillId="5" borderId="18" xfId="1" applyFont="1" applyFill="1" applyBorder="1" applyAlignment="1">
      <alignment horizontal="center" vertical="center"/>
    </xf>
    <xf numFmtId="0" fontId="11" fillId="0" borderId="18" xfId="1" applyBorder="1" applyAlignment="1">
      <alignment horizontal="left" vertical="center" wrapText="1"/>
    </xf>
    <xf numFmtId="0" fontId="14" fillId="0" borderId="0" xfId="1" applyFont="1" applyAlignment="1">
      <alignment horizontal="right" vertical="center"/>
    </xf>
    <xf numFmtId="182" fontId="14" fillId="0" borderId="0" xfId="1" applyNumberFormat="1" applyFont="1" applyAlignment="1">
      <alignment horizontal="center" vertical="center"/>
    </xf>
    <xf numFmtId="0" fontId="22" fillId="3" borderId="0" xfId="1" applyFont="1" applyFill="1" applyAlignment="1">
      <alignment horizontal="left" vertical="center" wrapText="1"/>
    </xf>
    <xf numFmtId="0" fontId="19" fillId="0" borderId="0" xfId="1" applyFont="1" applyAlignment="1">
      <alignment horizontal="right" vertical="center"/>
    </xf>
    <xf numFmtId="0" fontId="20" fillId="0" borderId="0" xfId="1" applyFont="1" applyAlignment="1">
      <alignment horizontal="right" vertical="center"/>
    </xf>
    <xf numFmtId="0" fontId="14" fillId="0" borderId="12" xfId="1" applyFont="1" applyBorder="1" applyAlignment="1">
      <alignment horizontal="right" vertical="center"/>
    </xf>
    <xf numFmtId="0" fontId="17" fillId="5" borderId="1" xfId="1" applyFont="1" applyFill="1" applyBorder="1" applyAlignment="1">
      <alignment horizontal="center" vertical="center"/>
    </xf>
    <xf numFmtId="0" fontId="18" fillId="0" borderId="1" xfId="1" applyFont="1" applyBorder="1" applyAlignment="1">
      <alignment horizontal="left" vertical="center" wrapText="1"/>
    </xf>
    <xf numFmtId="0" fontId="8" fillId="0" borderId="15" xfId="1" applyFont="1" applyBorder="1" applyAlignment="1">
      <alignment horizontal="left" vertical="center" wrapText="1"/>
    </xf>
    <xf numFmtId="0" fontId="8" fillId="0" borderId="16" xfId="1" applyFont="1" applyBorder="1" applyAlignment="1">
      <alignment horizontal="left" vertical="center" wrapText="1"/>
    </xf>
    <xf numFmtId="0" fontId="8" fillId="0" borderId="16" xfId="1" quotePrefix="1" applyFont="1" applyBorder="1" applyAlignment="1">
      <alignment horizontal="center" vertical="center"/>
    </xf>
    <xf numFmtId="0" fontId="8" fillId="0" borderId="12" xfId="1" applyFont="1" applyBorder="1" applyAlignment="1">
      <alignment horizontal="center" vertical="center"/>
    </xf>
    <xf numFmtId="0" fontId="8" fillId="0" borderId="13" xfId="1" applyFont="1" applyBorder="1" applyAlignment="1">
      <alignment horizontal="center" vertical="center"/>
    </xf>
    <xf numFmtId="0" fontId="8" fillId="0" borderId="12" xfId="1" quotePrefix="1" applyFont="1" applyBorder="1" applyAlignment="1">
      <alignment horizontal="center" vertical="center"/>
    </xf>
    <xf numFmtId="0" fontId="19" fillId="0" borderId="21" xfId="1" applyFont="1" applyBorder="1" applyAlignment="1">
      <alignment horizontal="right" vertical="center"/>
    </xf>
    <xf numFmtId="0" fontId="20" fillId="0" borderId="22" xfId="1" applyFont="1" applyBorder="1" applyAlignment="1">
      <alignment horizontal="right" vertical="center"/>
    </xf>
    <xf numFmtId="0" fontId="20" fillId="0" borderId="23" xfId="1" applyFont="1" applyBorder="1" applyAlignment="1">
      <alignment horizontal="right" vertical="center"/>
    </xf>
    <xf numFmtId="0" fontId="20" fillId="0" borderId="21" xfId="1" applyFont="1" applyBorder="1" applyAlignment="1">
      <alignment horizontal="center" vertical="center"/>
    </xf>
    <xf numFmtId="0" fontId="20" fillId="0" borderId="22" xfId="1" applyFont="1" applyBorder="1" applyAlignment="1">
      <alignment horizontal="center" vertical="center"/>
    </xf>
    <xf numFmtId="0" fontId="20" fillId="0" borderId="23" xfId="1" applyFont="1" applyBorder="1" applyAlignment="1">
      <alignment horizontal="center" vertical="center"/>
    </xf>
    <xf numFmtId="0" fontId="8" fillId="3" borderId="20" xfId="1" applyFont="1" applyFill="1" applyBorder="1" applyAlignment="1">
      <alignment horizontal="center" vertical="center" wrapText="1"/>
    </xf>
    <xf numFmtId="0" fontId="8" fillId="3" borderId="10" xfId="1" applyFont="1" applyFill="1" applyBorder="1" applyAlignment="1">
      <alignment horizontal="center" vertical="center"/>
    </xf>
    <xf numFmtId="0" fontId="37" fillId="0" borderId="0" xfId="0" applyFont="1" applyAlignment="1">
      <alignment horizontal="center" vertical="center"/>
    </xf>
    <xf numFmtId="0" fontId="2" fillId="0" borderId="0" xfId="0" applyFont="1" applyAlignment="1">
      <alignment horizontal="left" vertical="center"/>
    </xf>
    <xf numFmtId="0" fontId="1" fillId="6" borderId="1" xfId="0" applyFont="1" applyFill="1" applyBorder="1" applyAlignment="1" applyProtection="1">
      <alignment horizontal="center" vertical="center"/>
      <protection locked="0"/>
    </xf>
    <xf numFmtId="0" fontId="1" fillId="0" borderId="0" xfId="0" applyFont="1" applyAlignment="1">
      <alignment horizontal="center" vertical="center"/>
    </xf>
    <xf numFmtId="0" fontId="1" fillId="6" borderId="4" xfId="0" applyFont="1" applyFill="1" applyBorder="1" applyAlignment="1">
      <alignment horizontal="center" vertical="center"/>
    </xf>
    <xf numFmtId="0" fontId="1" fillId="6" borderId="5" xfId="0" applyFont="1" applyFill="1" applyBorder="1" applyAlignment="1">
      <alignment horizontal="center" vertical="center"/>
    </xf>
    <xf numFmtId="0" fontId="1" fillId="6" borderId="6" xfId="0" applyFont="1" applyFill="1" applyBorder="1" applyAlignment="1">
      <alignment horizontal="center" vertical="center"/>
    </xf>
    <xf numFmtId="0" fontId="1" fillId="6" borderId="1" xfId="0" applyFont="1" applyFill="1" applyBorder="1" applyAlignment="1">
      <alignment horizontal="center" vertical="center"/>
    </xf>
    <xf numFmtId="0" fontId="39" fillId="7" borderId="1" xfId="0" applyFont="1" applyFill="1" applyBorder="1" applyAlignment="1">
      <alignment horizontal="center" vertical="center"/>
    </xf>
    <xf numFmtId="0" fontId="40" fillId="7" borderId="1" xfId="0" applyFont="1" applyFill="1" applyBorder="1" applyAlignment="1">
      <alignment horizontal="left" vertical="center" wrapText="1"/>
    </xf>
    <xf numFmtId="0" fontId="40" fillId="7" borderId="7" xfId="0" applyFont="1" applyFill="1" applyBorder="1" applyAlignment="1">
      <alignment vertical="center" wrapText="1"/>
    </xf>
    <xf numFmtId="0" fontId="40" fillId="7" borderId="9" xfId="0" applyFont="1" applyFill="1" applyBorder="1" applyAlignment="1">
      <alignment vertical="center" wrapText="1"/>
    </xf>
    <xf numFmtId="0" fontId="40" fillId="7" borderId="8" xfId="0" applyFont="1" applyFill="1" applyBorder="1" applyAlignment="1">
      <alignment vertical="center" wrapText="1"/>
    </xf>
    <xf numFmtId="0" fontId="36" fillId="0" borderId="0" xfId="0" applyFont="1" applyAlignment="1">
      <alignment horizontal="left" vertical="center"/>
    </xf>
    <xf numFmtId="0" fontId="38" fillId="6" borderId="1" xfId="0" applyFont="1" applyFill="1" applyBorder="1" applyAlignment="1" applyProtection="1">
      <alignment horizontal="center" vertical="center" wrapText="1"/>
      <protection locked="0"/>
    </xf>
    <xf numFmtId="0" fontId="35" fillId="0" borderId="0" xfId="0" applyFont="1" applyAlignment="1">
      <alignment horizontal="left" vertical="center" wrapText="1"/>
    </xf>
    <xf numFmtId="0" fontId="1" fillId="0" borderId="0" xfId="0" applyFont="1" applyAlignment="1">
      <alignment horizontal="left" vertical="center" wrapText="1"/>
    </xf>
    <xf numFmtId="0" fontId="4"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2" fillId="0" borderId="0" xfId="0" applyFont="1" applyAlignment="1" applyProtection="1">
      <alignment horizontal="left" vertical="center"/>
      <protection hidden="1"/>
    </xf>
    <xf numFmtId="0" fontId="34" fillId="0" borderId="0" xfId="0" applyFont="1" applyAlignment="1" applyProtection="1">
      <alignment horizontal="left" vertical="center"/>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left" vertical="center"/>
      <protection hidden="1"/>
    </xf>
    <xf numFmtId="0" fontId="7" fillId="0" borderId="0" xfId="0" applyFont="1" applyAlignment="1" applyProtection="1">
      <alignment horizontal="right" vertical="center"/>
      <protection hidden="1"/>
    </xf>
    <xf numFmtId="0" fontId="7" fillId="0" borderId="2" xfId="0" quotePrefix="1" applyFont="1" applyBorder="1" applyAlignment="1" applyProtection="1">
      <alignment horizontal="center" vertical="center"/>
      <protection hidden="1"/>
    </xf>
    <xf numFmtId="0" fontId="7" fillId="0" borderId="2" xfId="0" applyFont="1" applyBorder="1" applyAlignment="1" applyProtection="1">
      <alignment horizontal="center" vertical="center"/>
      <protection hidden="1"/>
    </xf>
    <xf numFmtId="0" fontId="6" fillId="0" borderId="0" xfId="0" quotePrefix="1" applyFont="1" applyAlignment="1" applyProtection="1">
      <alignment horizontal="right" vertical="center"/>
      <protection hidden="1"/>
    </xf>
    <xf numFmtId="0" fontId="6" fillId="0" borderId="0" xfId="0" applyFont="1" applyAlignment="1" applyProtection="1">
      <alignment horizontal="right" vertical="center"/>
      <protection hidden="1"/>
    </xf>
    <xf numFmtId="179" fontId="8" fillId="0" borderId="2" xfId="0" applyNumberFormat="1" applyFont="1" applyBorder="1" applyAlignment="1" applyProtection="1">
      <alignment horizontal="center" vertical="center"/>
      <protection hidden="1"/>
    </xf>
    <xf numFmtId="0" fontId="8" fillId="0" borderId="0" xfId="0" applyFont="1" applyAlignment="1" applyProtection="1">
      <alignment horizontal="center" vertical="center"/>
      <protection hidden="1"/>
    </xf>
    <xf numFmtId="0" fontId="29" fillId="0" borderId="1" xfId="0" applyFont="1" applyBorder="1" applyAlignment="1" applyProtection="1">
      <alignment horizontal="center" vertical="center" wrapText="1"/>
      <protection hidden="1"/>
    </xf>
    <xf numFmtId="0" fontId="1" fillId="0" borderId="7" xfId="0" applyFont="1" applyBorder="1" applyAlignment="1" applyProtection="1">
      <alignment horizontal="left" vertical="center" wrapText="1"/>
      <protection hidden="1"/>
    </xf>
    <xf numFmtId="0" fontId="1" fillId="0" borderId="9" xfId="0" applyFont="1" applyBorder="1" applyAlignment="1" applyProtection="1">
      <alignment horizontal="left" vertical="center" wrapText="1"/>
      <protection hidden="1"/>
    </xf>
    <xf numFmtId="0" fontId="1" fillId="0" borderId="8" xfId="0" applyFont="1" applyBorder="1" applyAlignment="1" applyProtection="1">
      <alignment horizontal="left" vertical="center" wrapText="1"/>
      <protection hidden="1"/>
    </xf>
    <xf numFmtId="0" fontId="1" fillId="0" borderId="7" xfId="0" applyFont="1" applyBorder="1" applyAlignment="1" applyProtection="1">
      <alignment horizontal="center" vertical="center" wrapText="1"/>
      <protection hidden="1"/>
    </xf>
    <xf numFmtId="0" fontId="1" fillId="0" borderId="9" xfId="0" applyFont="1" applyBorder="1" applyAlignment="1" applyProtection="1">
      <alignment horizontal="center" vertical="center" wrapText="1"/>
      <protection hidden="1"/>
    </xf>
    <xf numFmtId="0" fontId="1" fillId="0" borderId="8" xfId="0" applyFont="1" applyBorder="1" applyAlignment="1" applyProtection="1">
      <alignment horizontal="center" vertical="center" wrapText="1"/>
      <protection hidden="1"/>
    </xf>
    <xf numFmtId="0" fontId="9" fillId="0" borderId="0" xfId="0" applyFont="1" applyAlignment="1" applyProtection="1">
      <alignment horizontal="right" wrapText="1"/>
      <protection hidden="1"/>
    </xf>
    <xf numFmtId="0" fontId="9" fillId="0" borderId="2" xfId="0" applyFont="1" applyBorder="1" applyAlignment="1" applyProtection="1">
      <alignment horizontal="center" vertical="center" wrapText="1"/>
      <protection hidden="1"/>
    </xf>
    <xf numFmtId="182" fontId="9" fillId="0" borderId="0" xfId="0" applyNumberFormat="1" applyFont="1" applyAlignment="1" applyProtection="1">
      <alignment horizontal="center" vertical="center" wrapText="1"/>
      <protection hidden="1"/>
    </xf>
    <xf numFmtId="0" fontId="4" fillId="0" borderId="0" xfId="0" applyFont="1" applyAlignment="1" applyProtection="1">
      <alignment horizontal="center" vertical="center"/>
      <protection locked="0"/>
    </xf>
    <xf numFmtId="0" fontId="5" fillId="0" borderId="0" xfId="0" applyFont="1" applyAlignment="1" applyProtection="1">
      <alignment horizontal="center" vertical="center"/>
      <protection locked="0"/>
    </xf>
    <xf numFmtId="0" fontId="2" fillId="0" borderId="0" xfId="0" applyFont="1" applyAlignment="1" applyProtection="1">
      <alignment horizontal="left" vertical="center"/>
      <protection locked="0"/>
    </xf>
    <xf numFmtId="0" fontId="34" fillId="0" borderId="0" xfId="0" applyFont="1" applyAlignment="1" applyProtection="1">
      <alignment horizontal="left" vertical="center"/>
      <protection locked="0"/>
    </xf>
    <xf numFmtId="0" fontId="6" fillId="0" borderId="0" xfId="0" applyFont="1" applyAlignment="1" applyProtection="1">
      <alignment horizontal="center" vertical="center"/>
      <protection locked="0"/>
    </xf>
    <xf numFmtId="0" fontId="7" fillId="0" borderId="0" xfId="0" applyFont="1" applyAlignment="1" applyProtection="1">
      <alignment horizontal="left" vertical="center"/>
      <protection locked="0"/>
    </xf>
    <xf numFmtId="0" fontId="7" fillId="0" borderId="0" xfId="0" applyFont="1" applyAlignment="1" applyProtection="1">
      <alignment horizontal="right" vertical="center"/>
      <protection locked="0"/>
    </xf>
    <xf numFmtId="0" fontId="7" fillId="0" borderId="2" xfId="0" quotePrefix="1" applyFont="1" applyBorder="1" applyAlignment="1" applyProtection="1">
      <alignment horizontal="center" vertical="center"/>
      <protection locked="0"/>
    </xf>
    <xf numFmtId="0" fontId="7" fillId="0" borderId="2" xfId="0" applyFont="1" applyBorder="1" applyAlignment="1" applyProtection="1">
      <alignment horizontal="center" vertical="center"/>
      <protection locked="0"/>
    </xf>
    <xf numFmtId="0" fontId="6" fillId="0" borderId="0" xfId="0" quotePrefix="1" applyFont="1" applyAlignment="1" applyProtection="1">
      <alignment horizontal="right" vertical="center"/>
      <protection locked="0"/>
    </xf>
    <xf numFmtId="0" fontId="6" fillId="0" borderId="0" xfId="0" applyFont="1" applyAlignment="1" applyProtection="1">
      <alignment horizontal="right" vertical="center"/>
      <protection locked="0"/>
    </xf>
    <xf numFmtId="179" fontId="8" fillId="0" borderId="2" xfId="0" applyNumberFormat="1" applyFont="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29" fillId="0" borderId="1" xfId="0" applyFont="1" applyBorder="1" applyAlignment="1" applyProtection="1">
      <alignment horizontal="center" vertical="center" wrapText="1"/>
      <protection locked="0"/>
    </xf>
    <xf numFmtId="0" fontId="1" fillId="0" borderId="7" xfId="0" applyFont="1" applyBorder="1" applyAlignment="1" applyProtection="1">
      <alignment horizontal="left" vertical="center" wrapText="1"/>
      <protection locked="0"/>
    </xf>
    <xf numFmtId="0" fontId="1" fillId="0" borderId="9" xfId="0" applyFont="1" applyBorder="1" applyAlignment="1" applyProtection="1">
      <alignment horizontal="left" vertical="center" wrapText="1"/>
      <protection locked="0"/>
    </xf>
    <xf numFmtId="0" fontId="1" fillId="0" borderId="8" xfId="0" applyFont="1" applyBorder="1" applyAlignment="1" applyProtection="1">
      <alignment horizontal="left" vertical="center" wrapText="1"/>
      <protection locked="0"/>
    </xf>
    <xf numFmtId="0" fontId="1" fillId="0" borderId="7"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9" fillId="0" borderId="0" xfId="0" applyFont="1" applyAlignment="1" applyProtection="1">
      <alignment horizontal="right" wrapText="1"/>
      <protection locked="0"/>
    </xf>
    <xf numFmtId="0" fontId="9" fillId="0" borderId="2" xfId="0" applyFont="1" applyBorder="1" applyAlignment="1" applyProtection="1">
      <alignment horizontal="center" vertical="center" wrapText="1"/>
      <protection locked="0"/>
    </xf>
    <xf numFmtId="0" fontId="29" fillId="0" borderId="3" xfId="0" applyFont="1" applyBorder="1" applyAlignment="1" applyProtection="1">
      <alignment horizontal="center" vertical="center" wrapText="1"/>
      <protection hidden="1"/>
    </xf>
    <xf numFmtId="0" fontId="29" fillId="0" borderId="24" xfId="0" applyFont="1" applyBorder="1" applyAlignment="1" applyProtection="1">
      <alignment horizontal="center" vertical="center" wrapText="1"/>
      <protection hidden="1"/>
    </xf>
    <xf numFmtId="0" fontId="1" fillId="0" borderId="3" xfId="0" applyFont="1" applyBorder="1" applyAlignment="1" applyProtection="1">
      <alignment horizontal="center" vertical="center" wrapText="1"/>
      <protection hidden="1"/>
    </xf>
    <xf numFmtId="0" fontId="1" fillId="0" borderId="24" xfId="0" applyFont="1" applyBorder="1" applyAlignment="1" applyProtection="1">
      <alignment horizontal="center" vertical="center" wrapText="1"/>
      <protection hidden="1"/>
    </xf>
    <xf numFmtId="0" fontId="29" fillId="0" borderId="3" xfId="0" applyFont="1" applyBorder="1" applyAlignment="1" applyProtection="1">
      <alignment horizontal="center" vertical="center" wrapText="1"/>
      <protection locked="0"/>
    </xf>
    <xf numFmtId="0" fontId="29" fillId="0" borderId="24" xfId="0"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1" fillId="0" borderId="24" xfId="0" applyFont="1" applyBorder="1" applyAlignment="1" applyProtection="1">
      <alignment horizontal="center" vertical="center" wrapText="1"/>
      <protection locked="0"/>
    </xf>
    <xf numFmtId="0" fontId="29" fillId="0" borderId="4" xfId="0" applyFont="1" applyBorder="1" applyAlignment="1" applyProtection="1">
      <alignment horizontal="center" vertical="center" wrapText="1"/>
      <protection hidden="1"/>
    </xf>
    <xf numFmtId="0" fontId="29" fillId="0" borderId="5" xfId="0" applyFont="1" applyBorder="1" applyAlignment="1" applyProtection="1">
      <alignment horizontal="center" vertical="center" wrapText="1"/>
      <protection hidden="1"/>
    </xf>
    <xf numFmtId="0" fontId="29" fillId="0" borderId="6" xfId="0" applyFont="1" applyBorder="1" applyAlignment="1" applyProtection="1">
      <alignment horizontal="center" vertical="center" wrapText="1"/>
      <protection hidden="1"/>
    </xf>
    <xf numFmtId="0" fontId="29" fillId="0" borderId="25" xfId="0" applyFont="1" applyBorder="1" applyAlignment="1" applyProtection="1">
      <alignment horizontal="center" vertical="center" wrapText="1"/>
      <protection hidden="1"/>
    </xf>
    <xf numFmtId="0" fontId="29" fillId="0" borderId="2" xfId="0" applyFont="1" applyBorder="1" applyAlignment="1" applyProtection="1">
      <alignment horizontal="center" vertical="center" wrapText="1"/>
      <protection hidden="1"/>
    </xf>
    <xf numFmtId="0" fontId="29" fillId="0" borderId="26" xfId="0" applyFont="1" applyBorder="1" applyAlignment="1" applyProtection="1">
      <alignment horizontal="center" vertical="center" wrapText="1"/>
      <protection hidden="1"/>
    </xf>
    <xf numFmtId="0" fontId="29" fillId="0" borderId="4" xfId="0" applyFont="1" applyBorder="1" applyAlignment="1" applyProtection="1">
      <alignment horizontal="center" vertical="center" wrapText="1"/>
      <protection locked="0"/>
    </xf>
    <xf numFmtId="0" fontId="29" fillId="0" borderId="5" xfId="0" applyFont="1" applyBorder="1" applyAlignment="1" applyProtection="1">
      <alignment horizontal="center" vertical="center" wrapText="1"/>
      <protection locked="0"/>
    </xf>
    <xf numFmtId="0" fontId="29" fillId="0" borderId="6" xfId="0" applyFont="1" applyBorder="1" applyAlignment="1" applyProtection="1">
      <alignment horizontal="center" vertical="center" wrapText="1"/>
      <protection locked="0"/>
    </xf>
    <xf numFmtId="0" fontId="29" fillId="0" borderId="25" xfId="0" applyFont="1" applyBorder="1" applyAlignment="1" applyProtection="1">
      <alignment horizontal="center" vertical="center" wrapText="1"/>
      <protection locked="0"/>
    </xf>
    <xf numFmtId="0" fontId="29" fillId="0" borderId="2" xfId="0" applyFont="1" applyBorder="1" applyAlignment="1" applyProtection="1">
      <alignment horizontal="center" vertical="center" wrapText="1"/>
      <protection locked="0"/>
    </xf>
    <xf numFmtId="0" fontId="29" fillId="0" borderId="26" xfId="0" applyFont="1" applyBorder="1" applyAlignment="1" applyProtection="1">
      <alignment horizontal="center" vertical="center" wrapText="1"/>
      <protection locked="0"/>
    </xf>
    <xf numFmtId="0" fontId="23" fillId="0" borderId="0" xfId="0" applyFont="1" applyAlignment="1" applyProtection="1">
      <alignment horizontal="center" vertical="top"/>
      <protection hidden="1"/>
    </xf>
    <xf numFmtId="0" fontId="4" fillId="0" borderId="0" xfId="0" applyFont="1" applyAlignment="1" applyProtection="1">
      <alignment horizontal="center" vertical="top"/>
      <protection hidden="1"/>
    </xf>
    <xf numFmtId="0" fontId="24" fillId="0" borderId="0" xfId="0" applyFont="1" applyAlignment="1" applyProtection="1">
      <alignment horizontal="left" vertical="center" wrapText="1"/>
      <protection hidden="1"/>
    </xf>
    <xf numFmtId="0" fontId="25" fillId="0" borderId="0" xfId="0" applyFont="1" applyAlignment="1" applyProtection="1">
      <alignment horizontal="left" vertical="center"/>
      <protection hidden="1"/>
    </xf>
    <xf numFmtId="0" fontId="26" fillId="0" borderId="1" xfId="0" applyFont="1" applyBorder="1" applyAlignment="1" applyProtection="1">
      <alignment horizontal="center" vertical="center"/>
      <protection hidden="1"/>
    </xf>
    <xf numFmtId="0" fontId="14" fillId="0" borderId="3" xfId="0" applyFont="1" applyBorder="1" applyAlignment="1" applyProtection="1">
      <alignment horizontal="left" vertical="center"/>
      <protection hidden="1"/>
    </xf>
    <xf numFmtId="0" fontId="27" fillId="0" borderId="3" xfId="0" applyFont="1" applyBorder="1" applyAlignment="1" applyProtection="1">
      <alignment horizontal="left" vertical="center"/>
      <protection hidden="1"/>
    </xf>
    <xf numFmtId="0" fontId="26" fillId="0" borderId="7" xfId="0" applyFont="1" applyBorder="1" applyAlignment="1" applyProtection="1">
      <alignment horizontal="center" vertical="center"/>
      <protection hidden="1"/>
    </xf>
    <xf numFmtId="0" fontId="26" fillId="0" borderId="9" xfId="0" applyFont="1" applyBorder="1" applyAlignment="1" applyProtection="1">
      <alignment horizontal="center" vertical="center"/>
      <protection hidden="1"/>
    </xf>
    <xf numFmtId="0" fontId="26" fillId="0" borderId="8" xfId="0" applyFont="1" applyBorder="1" applyAlignment="1" applyProtection="1">
      <alignment horizontal="center" vertical="center"/>
      <protection hidden="1"/>
    </xf>
    <xf numFmtId="181" fontId="14" fillId="0" borderId="1" xfId="0" quotePrefix="1" applyNumberFormat="1" applyFont="1" applyBorder="1" applyAlignment="1" applyProtection="1">
      <alignment horizontal="center" vertical="center"/>
      <protection hidden="1"/>
    </xf>
    <xf numFmtId="181" fontId="14" fillId="0" borderId="1" xfId="0" applyNumberFormat="1" applyFont="1" applyBorder="1" applyAlignment="1" applyProtection="1">
      <alignment horizontal="center" vertical="center"/>
      <protection hidden="1"/>
    </xf>
    <xf numFmtId="0" fontId="14" fillId="0" borderId="7" xfId="0" applyFont="1" applyBorder="1" applyAlignment="1" applyProtection="1">
      <alignment horizontal="center" vertical="center"/>
      <protection hidden="1"/>
    </xf>
    <xf numFmtId="0" fontId="14" fillId="0" borderId="9" xfId="0" applyFont="1" applyBorder="1" applyAlignment="1" applyProtection="1">
      <alignment horizontal="center" vertical="center"/>
      <protection hidden="1"/>
    </xf>
    <xf numFmtId="0" fontId="14" fillId="0" borderId="8" xfId="0" applyFont="1" applyBorder="1" applyAlignment="1" applyProtection="1">
      <alignment horizontal="center" vertical="center"/>
      <protection hidden="1"/>
    </xf>
    <xf numFmtId="0" fontId="33" fillId="0" borderId="0" xfId="0" applyFont="1" applyAlignment="1">
      <alignment horizontal="right" vertical="center" wrapText="1"/>
    </xf>
    <xf numFmtId="0" fontId="33" fillId="0" borderId="2" xfId="0" applyFont="1" applyBorder="1" applyAlignment="1">
      <alignment horizontal="center" vertical="center" wrapText="1"/>
    </xf>
    <xf numFmtId="0" fontId="8" fillId="0" borderId="0" xfId="0" applyFont="1" applyAlignment="1" applyProtection="1">
      <alignment horizontal="right" vertical="center"/>
      <protection hidden="1"/>
    </xf>
    <xf numFmtId="0" fontId="6" fillId="0" borderId="1" xfId="0" applyFont="1" applyBorder="1" applyAlignment="1" applyProtection="1">
      <alignment horizontal="center" vertical="center" wrapText="1"/>
      <protection hidden="1"/>
    </xf>
    <xf numFmtId="0" fontId="6" fillId="0" borderId="1" xfId="0" applyFont="1" applyBorder="1" applyAlignment="1" applyProtection="1">
      <alignment horizontal="center" vertical="center"/>
      <protection hidden="1"/>
    </xf>
    <xf numFmtId="0" fontId="1" fillId="0" borderId="1" xfId="0" applyFont="1" applyBorder="1" applyAlignment="1" applyProtection="1">
      <alignment horizontal="center" vertical="center" wrapText="1"/>
      <protection hidden="1"/>
    </xf>
    <xf numFmtId="0" fontId="1" fillId="0" borderId="1" xfId="0" applyFont="1" applyBorder="1" applyAlignment="1" applyProtection="1">
      <alignment horizontal="center" vertical="center"/>
      <protection hidden="1"/>
    </xf>
    <xf numFmtId="180" fontId="1" fillId="0" borderId="1" xfId="0" applyNumberFormat="1" applyFont="1" applyBorder="1" applyAlignment="1" applyProtection="1">
      <alignment horizontal="center" vertical="center"/>
      <protection hidden="1"/>
    </xf>
    <xf numFmtId="181" fontId="6" fillId="0" borderId="1" xfId="0" applyNumberFormat="1" applyFont="1" applyBorder="1" applyAlignment="1" applyProtection="1">
      <alignment horizontal="center" vertical="center" wrapText="1"/>
      <protection hidden="1"/>
    </xf>
    <xf numFmtId="0" fontId="6" fillId="0" borderId="3" xfId="0" applyFont="1" applyBorder="1" applyAlignment="1" applyProtection="1">
      <alignment horizontal="center" vertical="center" wrapText="1"/>
      <protection hidden="1"/>
    </xf>
    <xf numFmtId="0" fontId="10" fillId="0" borderId="4" xfId="0" applyFont="1" applyBorder="1" applyAlignment="1" applyProtection="1">
      <alignment horizontal="center" vertical="center" wrapText="1"/>
      <protection hidden="1"/>
    </xf>
    <xf numFmtId="0" fontId="10" fillId="0" borderId="5" xfId="0" applyFont="1" applyBorder="1" applyAlignment="1" applyProtection="1">
      <alignment horizontal="center" vertical="center" wrapText="1"/>
      <protection hidden="1"/>
    </xf>
    <xf numFmtId="0" fontId="10" fillId="0" borderId="6" xfId="0" applyFont="1" applyBorder="1" applyAlignment="1" applyProtection="1">
      <alignment horizontal="center" vertical="center" wrapText="1"/>
      <protection hidden="1"/>
    </xf>
    <xf numFmtId="180" fontId="1" fillId="0" borderId="9" xfId="0" applyNumberFormat="1" applyFont="1" applyBorder="1" applyAlignment="1" applyProtection="1">
      <alignment horizontal="center" vertical="center" wrapText="1"/>
      <protection hidden="1"/>
    </xf>
    <xf numFmtId="180" fontId="1" fillId="0" borderId="8" xfId="0" applyNumberFormat="1" applyFont="1" applyBorder="1" applyAlignment="1" applyProtection="1">
      <alignment vertical="center" wrapText="1"/>
      <protection hidden="1"/>
    </xf>
    <xf numFmtId="178" fontId="6" fillId="0" borderId="7" xfId="0" applyNumberFormat="1" applyFont="1" applyBorder="1" applyAlignment="1" applyProtection="1">
      <alignment horizontal="center" vertical="center" wrapText="1"/>
      <protection hidden="1"/>
    </xf>
    <xf numFmtId="178" fontId="6" fillId="0" borderId="8" xfId="0" applyNumberFormat="1" applyFont="1" applyBorder="1" applyAlignment="1" applyProtection="1">
      <alignment horizontal="center" vertical="center" wrapText="1"/>
      <protection hidden="1"/>
    </xf>
    <xf numFmtId="0" fontId="6" fillId="0" borderId="0" xfId="0" applyFont="1" applyAlignment="1" applyProtection="1">
      <alignment horizontal="left" vertical="center" wrapText="1"/>
      <protection hidden="1"/>
    </xf>
    <xf numFmtId="0" fontId="1" fillId="0" borderId="0" xfId="0" applyFont="1" applyAlignment="1" applyProtection="1">
      <alignment horizontal="right" vertical="center" wrapText="1"/>
      <protection hidden="1"/>
    </xf>
    <xf numFmtId="180" fontId="10" fillId="0" borderId="2" xfId="0" applyNumberFormat="1" applyFont="1" applyBorder="1" applyAlignment="1" applyProtection="1">
      <alignment horizontal="center" vertical="center" wrapText="1"/>
      <protection hidden="1"/>
    </xf>
    <xf numFmtId="0" fontId="1" fillId="0" borderId="0" xfId="0" applyFont="1" applyAlignment="1" applyProtection="1">
      <alignment horizontal="right" wrapText="1"/>
      <protection hidden="1"/>
    </xf>
    <xf numFmtId="180" fontId="1" fillId="0" borderId="2" xfId="0" applyNumberFormat="1" applyFont="1" applyBorder="1" applyAlignment="1" applyProtection="1">
      <alignment horizontal="center" vertical="center" wrapText="1"/>
      <protection hidden="1"/>
    </xf>
    <xf numFmtId="0" fontId="1" fillId="0" borderId="0" xfId="0" applyFont="1" applyAlignment="1" applyProtection="1">
      <alignment horizontal="left" vertical="center" wrapText="1"/>
      <protection hidden="1"/>
    </xf>
    <xf numFmtId="0" fontId="46" fillId="0" borderId="12" xfId="1" applyFont="1" applyBorder="1" applyAlignment="1">
      <alignment horizontal="center" vertical="center"/>
    </xf>
    <xf numFmtId="0" fontId="47" fillId="0" borderId="15" xfId="0" applyFont="1" applyBorder="1" applyAlignment="1">
      <alignment horizontal="left" vertical="center"/>
    </xf>
    <xf numFmtId="0" fontId="47" fillId="0" borderId="16" xfId="0" applyFont="1" applyBorder="1" applyAlignment="1">
      <alignment horizontal="left" vertical="center"/>
    </xf>
    <xf numFmtId="0" fontId="47" fillId="0" borderId="17" xfId="0" applyFont="1" applyBorder="1" applyAlignment="1">
      <alignment horizontal="left" vertical="center"/>
    </xf>
    <xf numFmtId="0" fontId="46" fillId="0" borderId="15" xfId="1" applyFont="1" applyBorder="1" applyAlignment="1">
      <alignment horizontal="left" vertical="center" wrapText="1"/>
    </xf>
  </cellXfs>
  <cellStyles count="2">
    <cellStyle name="Normal" xfId="1" xr:uid="{00000000-0005-0000-0000-00003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www.wps.cn/officeDocument/2020/cellImage" Target="cellimag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132715</xdr:colOff>
      <xdr:row>29</xdr:row>
      <xdr:rowOff>127635</xdr:rowOff>
    </xdr:from>
    <xdr:to>
      <xdr:col>5</xdr:col>
      <xdr:colOff>219075</xdr:colOff>
      <xdr:row>31</xdr:row>
      <xdr:rowOff>32385</xdr:rowOff>
    </xdr:to>
    <xdr:pic>
      <xdr:nvPicPr>
        <xdr:cNvPr id="2" name="图片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32740" y="7079615"/>
          <a:ext cx="3583940" cy="300990"/>
        </a:xfrm>
        <a:prstGeom prst="rect">
          <a:avLst/>
        </a:prstGeom>
        <a:noFill/>
        <a:ln>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0"/>
  <sheetViews>
    <sheetView topLeftCell="A23" zoomScale="160" zoomScaleNormal="160" workbookViewId="0">
      <selection activeCell="C11" sqref="C11:F11"/>
    </sheetView>
  </sheetViews>
  <sheetFormatPr defaultColWidth="9" defaultRowHeight="15"/>
  <cols>
    <col min="1" max="1" width="2.90625" customWidth="1"/>
    <col min="2" max="2" width="13.7265625" style="2" customWidth="1"/>
    <col min="3" max="3" width="12.453125" style="2" customWidth="1"/>
    <col min="4" max="4" width="12.08984375" style="2" customWidth="1"/>
    <col min="5" max="5" width="12.6328125" style="2" customWidth="1"/>
    <col min="6" max="6" width="14.26953125" style="3" customWidth="1"/>
    <col min="7" max="8" width="9" style="3"/>
  </cols>
  <sheetData>
    <row r="1" spans="2:6" ht="34" customHeight="1">
      <c r="B1" s="153" t="s">
        <v>0</v>
      </c>
      <c r="C1" s="153"/>
      <c r="D1" s="153"/>
      <c r="E1" s="153"/>
      <c r="F1" s="153"/>
    </row>
    <row r="2" spans="2:6">
      <c r="B2" s="154" t="s">
        <v>1</v>
      </c>
      <c r="C2" s="154"/>
      <c r="D2" s="154"/>
      <c r="E2" s="154"/>
      <c r="F2" s="154"/>
    </row>
    <row r="3" spans="2:6" ht="24" customHeight="1">
      <c r="B3" s="94" t="s">
        <v>2</v>
      </c>
      <c r="C3" s="155"/>
      <c r="D3" s="155"/>
      <c r="E3" s="155"/>
      <c r="F3" s="155"/>
    </row>
    <row r="4" spans="2:6" ht="6" customHeight="1">
      <c r="B4" s="95"/>
      <c r="C4" s="95"/>
      <c r="D4" s="95"/>
      <c r="E4" s="95"/>
      <c r="F4" s="95"/>
    </row>
    <row r="5" spans="2:6" ht="20" customHeight="1">
      <c r="B5" s="96" t="s">
        <v>3</v>
      </c>
      <c r="C5" s="96" t="s">
        <v>4</v>
      </c>
      <c r="D5" s="96" t="s">
        <v>5</v>
      </c>
      <c r="E5" s="96" t="s">
        <v>6</v>
      </c>
      <c r="F5" s="96" t="s">
        <v>7</v>
      </c>
    </row>
    <row r="6" spans="2:6">
      <c r="B6" s="108" t="s">
        <v>8</v>
      </c>
      <c r="C6" s="97" t="s">
        <v>9</v>
      </c>
      <c r="D6" s="98"/>
      <c r="E6" s="98"/>
      <c r="F6" s="98" t="s">
        <v>10</v>
      </c>
    </row>
    <row r="7" spans="2:6">
      <c r="B7" s="97" t="s">
        <v>11</v>
      </c>
      <c r="C7" s="97" t="s">
        <v>12</v>
      </c>
      <c r="D7" s="98"/>
      <c r="E7" s="98"/>
      <c r="F7" s="98" t="s">
        <v>10</v>
      </c>
    </row>
    <row r="8" spans="2:6">
      <c r="B8" s="167" t="s">
        <v>13</v>
      </c>
      <c r="C8" s="97" t="s">
        <v>14</v>
      </c>
      <c r="D8" s="98"/>
      <c r="E8" s="98"/>
      <c r="F8" s="98" t="s">
        <v>10</v>
      </c>
    </row>
    <row r="9" spans="2:6">
      <c r="B9" s="167"/>
      <c r="C9" s="99" t="s">
        <v>15</v>
      </c>
      <c r="D9" s="99" t="s">
        <v>15</v>
      </c>
      <c r="E9" s="99" t="s">
        <v>15</v>
      </c>
      <c r="F9" s="100" t="s">
        <v>15</v>
      </c>
    </row>
    <row r="10" spans="2:6">
      <c r="B10" s="156"/>
      <c r="C10" s="156"/>
      <c r="D10" s="156"/>
      <c r="E10" s="156"/>
      <c r="F10" s="156"/>
    </row>
    <row r="11" spans="2:6" ht="36" customHeight="1">
      <c r="B11" s="101" t="s">
        <v>16</v>
      </c>
      <c r="C11" s="157" t="str">
        <f>_xlfn.DISPIMG("ID_A08B1BBDD01046CB8B5D1E00D71465ED",1)</f>
        <v>=DISPIMG("ID_A08B1BBDD01046CB8B5D1E00D71465ED",1)</v>
      </c>
      <c r="D11" s="158"/>
      <c r="E11" s="158"/>
      <c r="F11" s="159"/>
    </row>
    <row r="12" spans="2:6" ht="38" customHeight="1">
      <c r="B12" s="94" t="s">
        <v>17</v>
      </c>
      <c r="C12" s="160" t="str">
        <f>_xlfn.DISPIMG("ID_1F1695394C5D4F30B6211CC67EB5DEA1",1)</f>
        <v>=DISPIMG("ID_1F1695394C5D4F30B6211CC67EB5DEA1",1)</v>
      </c>
      <c r="D12" s="160"/>
      <c r="E12" s="160"/>
      <c r="F12" s="160"/>
    </row>
    <row r="13" spans="2:6">
      <c r="C13" s="102"/>
      <c r="D13" s="102"/>
      <c r="E13" s="102"/>
      <c r="F13" s="93"/>
    </row>
    <row r="14" spans="2:6" ht="22" customHeight="1">
      <c r="B14" s="156" t="s">
        <v>18</v>
      </c>
      <c r="C14" s="156"/>
      <c r="D14" s="156"/>
      <c r="E14" s="156"/>
      <c r="F14" s="156"/>
    </row>
    <row r="15" spans="2:6">
      <c r="B15" s="103" t="s">
        <v>19</v>
      </c>
      <c r="C15" s="103" t="s">
        <v>20</v>
      </c>
      <c r="D15" s="103" t="s">
        <v>21</v>
      </c>
      <c r="E15" s="103" t="s">
        <v>22</v>
      </c>
      <c r="F15" s="103" t="s">
        <v>23</v>
      </c>
    </row>
    <row r="16" spans="2:6">
      <c r="B16" s="104" t="s">
        <v>24</v>
      </c>
      <c r="C16" s="105">
        <v>46211</v>
      </c>
      <c r="D16" s="105">
        <v>46212</v>
      </c>
      <c r="E16" s="105">
        <v>46212</v>
      </c>
      <c r="F16" s="105">
        <v>46213</v>
      </c>
    </row>
    <row r="17" spans="2:6">
      <c r="C17" s="102"/>
      <c r="D17" s="102"/>
      <c r="E17" s="102"/>
      <c r="F17" s="93"/>
    </row>
    <row r="18" spans="2:6" ht="22" customHeight="1">
      <c r="B18" s="156" t="s">
        <v>25</v>
      </c>
      <c r="C18" s="156"/>
      <c r="D18" s="156"/>
      <c r="E18" s="156"/>
      <c r="F18" s="156"/>
    </row>
    <row r="19" spans="2:6" s="93" customFormat="1" ht="13">
      <c r="B19" s="103" t="s">
        <v>26</v>
      </c>
      <c r="C19" s="103" t="s">
        <v>27</v>
      </c>
      <c r="D19" s="161" t="s">
        <v>28</v>
      </c>
      <c r="E19" s="161"/>
      <c r="F19" s="161"/>
    </row>
    <row r="20" spans="2:6" s="93" customFormat="1" ht="24" customHeight="1">
      <c r="B20" s="104">
        <v>1</v>
      </c>
      <c r="C20" s="106" t="s">
        <v>29</v>
      </c>
      <c r="D20" s="162" t="s">
        <v>30</v>
      </c>
      <c r="E20" s="162"/>
      <c r="F20" s="162"/>
    </row>
    <row r="21" spans="2:6" s="93" customFormat="1" ht="13">
      <c r="B21" s="104">
        <v>2</v>
      </c>
      <c r="C21" s="106" t="s">
        <v>31</v>
      </c>
      <c r="D21" s="162" t="s">
        <v>32</v>
      </c>
      <c r="E21" s="162"/>
      <c r="F21" s="162"/>
    </row>
    <row r="22" spans="2:6" s="93" customFormat="1" ht="13">
      <c r="B22" s="104">
        <v>3</v>
      </c>
      <c r="C22" s="106" t="s">
        <v>33</v>
      </c>
      <c r="D22" s="162" t="s">
        <v>32</v>
      </c>
      <c r="E22" s="162"/>
      <c r="F22" s="162"/>
    </row>
    <row r="23" spans="2:6" s="93" customFormat="1" ht="26">
      <c r="B23" s="104">
        <v>4</v>
      </c>
      <c r="C23" s="107" t="s">
        <v>34</v>
      </c>
      <c r="D23" s="163" t="s">
        <v>35</v>
      </c>
      <c r="E23" s="164"/>
      <c r="F23" s="165"/>
    </row>
    <row r="24" spans="2:6" s="93" customFormat="1" ht="13">
      <c r="B24" s="104">
        <v>5</v>
      </c>
      <c r="C24" s="106" t="s">
        <v>36</v>
      </c>
      <c r="D24" s="162" t="s">
        <v>37</v>
      </c>
      <c r="E24" s="162"/>
      <c r="F24" s="162"/>
    </row>
    <row r="25" spans="2:6" ht="31" customHeight="1">
      <c r="B25" s="104">
        <v>6</v>
      </c>
      <c r="C25" s="106" t="s">
        <v>38</v>
      </c>
      <c r="D25" s="162" t="s">
        <v>39</v>
      </c>
      <c r="E25" s="162"/>
      <c r="F25" s="162"/>
    </row>
    <row r="26" spans="2:6">
      <c r="B26" s="166" t="s">
        <v>40</v>
      </c>
      <c r="C26" s="166"/>
      <c r="D26" s="166"/>
      <c r="E26" s="166"/>
      <c r="F26" s="166"/>
    </row>
    <row r="27" spans="2:6">
      <c r="B27" s="168" t="s">
        <v>41</v>
      </c>
      <c r="C27" s="169"/>
      <c r="D27" s="169"/>
      <c r="E27" s="169"/>
      <c r="F27" s="169"/>
    </row>
    <row r="28" spans="2:6">
      <c r="B28" s="169"/>
      <c r="C28" s="169"/>
      <c r="D28" s="169"/>
      <c r="E28" s="169"/>
      <c r="F28" s="169"/>
    </row>
    <row r="29" spans="2:6">
      <c r="B29" s="169"/>
      <c r="C29" s="169"/>
      <c r="D29" s="169"/>
      <c r="E29" s="169"/>
      <c r="F29" s="169"/>
    </row>
    <row r="30" spans="2:6">
      <c r="B30" s="169"/>
      <c r="C30" s="169"/>
      <c r="D30" s="169"/>
      <c r="E30" s="169"/>
      <c r="F30" s="169"/>
    </row>
    <row r="31" spans="2:6">
      <c r="B31" s="169"/>
      <c r="C31" s="169"/>
      <c r="D31" s="169"/>
      <c r="E31" s="169"/>
      <c r="F31" s="169"/>
    </row>
    <row r="32" spans="2:6">
      <c r="B32" s="169"/>
      <c r="C32" s="169"/>
      <c r="D32" s="169"/>
      <c r="E32" s="169"/>
      <c r="F32" s="169"/>
    </row>
    <row r="33" spans="2:6">
      <c r="B33" s="169"/>
      <c r="C33" s="169"/>
      <c r="D33" s="169"/>
      <c r="E33" s="169"/>
      <c r="F33" s="169"/>
    </row>
    <row r="34" spans="2:6">
      <c r="B34" s="169"/>
      <c r="C34" s="169"/>
      <c r="D34" s="169"/>
      <c r="E34" s="169"/>
      <c r="F34" s="169"/>
    </row>
    <row r="35" spans="2:6">
      <c r="B35" s="169"/>
      <c r="C35" s="169"/>
      <c r="D35" s="169"/>
      <c r="E35" s="169"/>
      <c r="F35" s="169"/>
    </row>
    <row r="36" spans="2:6">
      <c r="B36" s="169"/>
      <c r="C36" s="169"/>
      <c r="D36" s="169"/>
      <c r="E36" s="169"/>
      <c r="F36" s="169"/>
    </row>
    <row r="37" spans="2:6">
      <c r="B37" s="169"/>
      <c r="C37" s="169"/>
      <c r="D37" s="169"/>
      <c r="E37" s="169"/>
      <c r="F37" s="169"/>
    </row>
    <row r="38" spans="2:6">
      <c r="B38" s="169"/>
      <c r="C38" s="169"/>
      <c r="D38" s="169"/>
      <c r="E38" s="169"/>
      <c r="F38" s="169"/>
    </row>
    <row r="39" spans="2:6">
      <c r="B39" s="169"/>
      <c r="C39" s="169"/>
      <c r="D39" s="169"/>
      <c r="E39" s="169"/>
      <c r="F39" s="169"/>
    </row>
    <row r="40" spans="2:6" ht="54" customHeight="1">
      <c r="B40" s="169"/>
      <c r="C40" s="169"/>
      <c r="D40" s="169"/>
      <c r="E40" s="169"/>
      <c r="F40" s="169"/>
    </row>
  </sheetData>
  <sheetProtection selectLockedCells="1"/>
  <protectedRanges>
    <protectedRange sqref="C3" name="区域1" securityDescriptor="O:WDG:WDD:"/>
    <protectedRange sqref="B8" name="区域4"/>
    <protectedRange sqref="B6" name="区域3"/>
    <protectedRange sqref="D6:F8" name="区域2"/>
  </protectedRanges>
  <mergeCells count="18">
    <mergeCell ref="B26:F26"/>
    <mergeCell ref="B8:B9"/>
    <mergeCell ref="B27:F40"/>
    <mergeCell ref="D21:F21"/>
    <mergeCell ref="D22:F22"/>
    <mergeCell ref="D23:F23"/>
    <mergeCell ref="D24:F24"/>
    <mergeCell ref="D25:F25"/>
    <mergeCell ref="C12:F12"/>
    <mergeCell ref="B14:F14"/>
    <mergeCell ref="B18:F18"/>
    <mergeCell ref="D19:F19"/>
    <mergeCell ref="D20:F20"/>
    <mergeCell ref="B1:F1"/>
    <mergeCell ref="B2:F2"/>
    <mergeCell ref="C3:F3"/>
    <mergeCell ref="B10:F10"/>
    <mergeCell ref="C11:F11"/>
  </mergeCells>
  <phoneticPr fontId="45" type="noConversion"/>
  <pageMargins left="0.75" right="0.75" top="1" bottom="1" header="0.5" footer="0.5"/>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7"/>
  <sheetViews>
    <sheetView view="pageBreakPreview" topLeftCell="A51" zoomScale="115" zoomScaleNormal="100" workbookViewId="0">
      <selection activeCell="A2" sqref="A2:K2"/>
    </sheetView>
  </sheetViews>
  <sheetFormatPr defaultColWidth="9" defaultRowHeight="14"/>
  <cols>
    <col min="1" max="1" width="6.36328125" style="1" customWidth="1"/>
    <col min="2" max="2" width="12.1796875" style="1" customWidth="1"/>
    <col min="3" max="3" width="10.08984375" style="1" customWidth="1"/>
    <col min="4" max="4" width="9.453125" style="1" customWidth="1"/>
    <col min="5" max="5" width="9.7265625" style="1" customWidth="1"/>
    <col min="6" max="10" width="5.36328125" style="1" customWidth="1"/>
    <col min="11" max="11" width="12.90625" style="1" customWidth="1"/>
    <col min="12" max="16384" width="9" style="1"/>
  </cols>
  <sheetData>
    <row r="1" spans="1:11" s="14" customFormat="1" ht="35.15" customHeight="1">
      <c r="A1" s="170" t="s">
        <v>42</v>
      </c>
      <c r="B1" s="170"/>
      <c r="C1" s="170"/>
      <c r="D1" s="170"/>
      <c r="E1" s="170"/>
      <c r="F1" s="170"/>
      <c r="G1" s="170"/>
      <c r="H1" s="170"/>
      <c r="I1" s="170"/>
      <c r="J1" s="170"/>
      <c r="K1" s="170"/>
    </row>
    <row r="2" spans="1:11" s="14" customFormat="1" ht="23">
      <c r="A2" s="171" t="s">
        <v>43</v>
      </c>
      <c r="B2" s="170"/>
      <c r="C2" s="170"/>
      <c r="D2" s="170"/>
      <c r="E2" s="170"/>
      <c r="F2" s="170"/>
      <c r="G2" s="170"/>
      <c r="H2" s="170"/>
      <c r="I2" s="170"/>
      <c r="J2" s="170"/>
      <c r="K2" s="170"/>
    </row>
    <row r="3" spans="1:11" s="14" customFormat="1" ht="21" customHeight="1">
      <c r="A3" s="172" t="s">
        <v>44</v>
      </c>
      <c r="B3" s="173"/>
      <c r="C3" s="173"/>
      <c r="D3" s="173"/>
      <c r="E3" s="173"/>
      <c r="F3" s="173"/>
      <c r="G3" s="173"/>
      <c r="H3" s="173"/>
      <c r="I3" s="173"/>
      <c r="J3" s="173"/>
      <c r="K3" s="173"/>
    </row>
    <row r="4" spans="1:11" s="14" customFormat="1" ht="25" customHeight="1">
      <c r="A4" s="174" t="s">
        <v>2</v>
      </c>
      <c r="B4" s="174"/>
      <c r="C4" s="175">
        <f>基础信息表!C3</f>
        <v>0</v>
      </c>
      <c r="D4" s="175"/>
      <c r="E4" s="175"/>
      <c r="F4" s="175"/>
      <c r="G4" s="175"/>
      <c r="H4" s="175"/>
      <c r="I4" s="175"/>
      <c r="J4" s="175"/>
      <c r="K4" s="175"/>
    </row>
    <row r="5" spans="1:11" s="12" customFormat="1" ht="22" customHeight="1">
      <c r="A5" s="174" t="s">
        <v>45</v>
      </c>
      <c r="B5" s="174"/>
      <c r="C5" s="15" t="str">
        <f>基础信息表!C6</f>
        <v>负责人</v>
      </c>
      <c r="D5" s="176" t="s">
        <v>46</v>
      </c>
      <c r="E5" s="176"/>
      <c r="F5" s="177" t="str">
        <f>基础信息表!B6</f>
        <v>0901</v>
      </c>
      <c r="G5" s="178"/>
      <c r="H5" s="178"/>
      <c r="I5" s="16"/>
      <c r="J5" s="16"/>
      <c r="K5" s="16"/>
    </row>
    <row r="6" spans="1:11" s="13" customFormat="1" ht="22" customHeight="1">
      <c r="A6" s="174" t="s">
        <v>47</v>
      </c>
      <c r="B6" s="174"/>
      <c r="C6" s="17">
        <f>基础信息表!D6</f>
        <v>0</v>
      </c>
      <c r="D6" s="179" t="s">
        <v>48</v>
      </c>
      <c r="E6" s="180"/>
      <c r="F6" s="181">
        <f>基础信息表!E6</f>
        <v>0</v>
      </c>
      <c r="G6" s="181"/>
      <c r="H6" s="181"/>
      <c r="I6" s="182" t="s">
        <v>49</v>
      </c>
      <c r="J6" s="182"/>
      <c r="K6" s="18" t="str">
        <f>基础信息表!F6</f>
        <v>自动化2301</v>
      </c>
    </row>
    <row r="7" spans="1:11" s="14" customFormat="1" ht="14.25" customHeight="1">
      <c r="A7" s="77"/>
      <c r="B7" s="77"/>
      <c r="C7" s="21"/>
      <c r="D7" s="21"/>
      <c r="E7" s="77"/>
      <c r="F7" s="77"/>
      <c r="G7" s="77"/>
      <c r="H7" s="21"/>
      <c r="I7" s="21"/>
      <c r="J7" s="77"/>
      <c r="K7" s="77"/>
    </row>
    <row r="8" spans="1:11" s="14" customFormat="1" ht="15.75" customHeight="1">
      <c r="A8" s="183" t="s">
        <v>50</v>
      </c>
      <c r="B8" s="215" t="s">
        <v>51</v>
      </c>
      <c r="C8" s="223" t="s">
        <v>52</v>
      </c>
      <c r="D8" s="224"/>
      <c r="E8" s="225"/>
      <c r="F8" s="183" t="s">
        <v>53</v>
      </c>
      <c r="G8" s="183" t="s">
        <v>54</v>
      </c>
      <c r="H8" s="183"/>
      <c r="I8" s="183"/>
      <c r="J8" s="183"/>
      <c r="K8" s="183" t="s">
        <v>55</v>
      </c>
    </row>
    <row r="9" spans="1:11" s="14" customFormat="1" ht="15">
      <c r="A9" s="183"/>
      <c r="B9" s="216"/>
      <c r="C9" s="226"/>
      <c r="D9" s="227"/>
      <c r="E9" s="228"/>
      <c r="F9" s="183"/>
      <c r="G9" s="66">
        <v>5</v>
      </c>
      <c r="H9" s="66">
        <v>4</v>
      </c>
      <c r="I9" s="66">
        <v>3</v>
      </c>
      <c r="J9" s="66">
        <v>2</v>
      </c>
      <c r="K9" s="183"/>
    </row>
    <row r="10" spans="1:11" ht="88" customHeight="1">
      <c r="A10" s="23">
        <v>1</v>
      </c>
      <c r="B10" s="23" t="s">
        <v>56</v>
      </c>
      <c r="C10" s="184" t="s">
        <v>57</v>
      </c>
      <c r="D10" s="185"/>
      <c r="E10" s="186"/>
      <c r="F10" s="67">
        <v>0.2</v>
      </c>
      <c r="G10" s="78"/>
      <c r="H10" s="78">
        <v>1</v>
      </c>
      <c r="I10" s="78"/>
      <c r="J10" s="78"/>
      <c r="K10" s="69">
        <f t="shared" ref="K10:K15" si="0">F10*(G10*$G$9+$H$9*H10+$I$9*I10+$J$9*J10)</f>
        <v>0.8</v>
      </c>
    </row>
    <row r="11" spans="1:11" ht="93" customHeight="1">
      <c r="A11" s="23">
        <v>2</v>
      </c>
      <c r="B11" s="23" t="s">
        <v>58</v>
      </c>
      <c r="C11" s="184" t="s">
        <v>59</v>
      </c>
      <c r="D11" s="185"/>
      <c r="E11" s="186" t="s">
        <v>60</v>
      </c>
      <c r="F11" s="67">
        <v>0.4</v>
      </c>
      <c r="G11" s="78"/>
      <c r="H11" s="78">
        <v>1</v>
      </c>
      <c r="I11" s="78"/>
      <c r="J11" s="78"/>
      <c r="K11" s="69">
        <f t="shared" si="0"/>
        <v>1.6</v>
      </c>
    </row>
    <row r="12" spans="1:11" ht="50.15" customHeight="1">
      <c r="A12" s="23">
        <v>3</v>
      </c>
      <c r="B12" s="23" t="s">
        <v>61</v>
      </c>
      <c r="C12" s="184" t="s">
        <v>62</v>
      </c>
      <c r="D12" s="185"/>
      <c r="E12" s="186" t="s">
        <v>60</v>
      </c>
      <c r="F12" s="67">
        <v>0.1</v>
      </c>
      <c r="G12" s="78"/>
      <c r="H12" s="78">
        <v>1</v>
      </c>
      <c r="I12" s="78"/>
      <c r="J12" s="78"/>
      <c r="K12" s="69">
        <f t="shared" si="0"/>
        <v>0.4</v>
      </c>
    </row>
    <row r="13" spans="1:11" ht="41" customHeight="1">
      <c r="A13" s="23">
        <v>4</v>
      </c>
      <c r="B13" s="217" t="s">
        <v>63</v>
      </c>
      <c r="C13" s="184" t="s">
        <v>64</v>
      </c>
      <c r="D13" s="185"/>
      <c r="E13" s="186"/>
      <c r="F13" s="67">
        <v>0.1</v>
      </c>
      <c r="G13" s="78">
        <v>1</v>
      </c>
      <c r="H13" s="78"/>
      <c r="I13" s="78"/>
      <c r="J13" s="78"/>
      <c r="K13" s="69">
        <f t="shared" si="0"/>
        <v>0.5</v>
      </c>
    </row>
    <row r="14" spans="1:11" ht="53" customHeight="1">
      <c r="A14" s="23">
        <v>5</v>
      </c>
      <c r="B14" s="218"/>
      <c r="C14" s="184" t="s">
        <v>65</v>
      </c>
      <c r="D14" s="185"/>
      <c r="E14" s="186"/>
      <c r="F14" s="67">
        <v>0.1</v>
      </c>
      <c r="G14" s="78">
        <v>1</v>
      </c>
      <c r="H14" s="78"/>
      <c r="I14" s="78"/>
      <c r="J14" s="78"/>
      <c r="K14" s="69">
        <f t="shared" si="0"/>
        <v>0.5</v>
      </c>
    </row>
    <row r="15" spans="1:11" ht="56" customHeight="1">
      <c r="A15" s="23">
        <v>6</v>
      </c>
      <c r="B15" s="23" t="s">
        <v>66</v>
      </c>
      <c r="C15" s="184" t="s">
        <v>67</v>
      </c>
      <c r="D15" s="185"/>
      <c r="E15" s="186" t="s">
        <v>68</v>
      </c>
      <c r="F15" s="67">
        <v>0.1</v>
      </c>
      <c r="G15" s="78"/>
      <c r="H15" s="78">
        <v>1</v>
      </c>
      <c r="I15" s="78"/>
      <c r="J15" s="78"/>
      <c r="K15" s="69">
        <f t="shared" si="0"/>
        <v>0.4</v>
      </c>
    </row>
    <row r="16" spans="1:11" s="14" customFormat="1" ht="30" customHeight="1">
      <c r="A16" s="187" t="s">
        <v>69</v>
      </c>
      <c r="B16" s="188"/>
      <c r="C16" s="188"/>
      <c r="D16" s="188"/>
      <c r="E16" s="188"/>
      <c r="F16" s="188"/>
      <c r="G16" s="188"/>
      <c r="H16" s="188"/>
      <c r="I16" s="188"/>
      <c r="J16" s="189"/>
      <c r="K16" s="70">
        <f>SUM(K10:K15)</f>
        <v>4.2</v>
      </c>
    </row>
    <row r="17" spans="1:11" s="14" customFormat="1" ht="10" customHeight="1">
      <c r="A17" s="79"/>
      <c r="B17" s="80"/>
      <c r="C17" s="80"/>
      <c r="D17" s="80"/>
      <c r="E17" s="80"/>
      <c r="F17" s="80"/>
      <c r="G17" s="80"/>
      <c r="H17" s="80"/>
      <c r="I17" s="80"/>
      <c r="J17" s="80"/>
      <c r="K17" s="80"/>
    </row>
    <row r="18" spans="1:11" s="14" customFormat="1" ht="45" customHeight="1">
      <c r="A18" s="79"/>
      <c r="B18" s="80"/>
      <c r="C18" s="80"/>
      <c r="D18" s="80"/>
      <c r="E18" s="190" t="s">
        <v>70</v>
      </c>
      <c r="F18" s="190"/>
      <c r="G18" s="190"/>
      <c r="H18" s="190"/>
      <c r="I18" s="191" t="str">
        <f>基础信息表!C11</f>
        <v>=DISPIMG("ID_A08B1BBDD01046CB8B5D1E00D71465ED",1)</v>
      </c>
      <c r="J18" s="191"/>
      <c r="K18" s="191"/>
    </row>
    <row r="19" spans="1:11" s="14" customFormat="1" ht="30" customHeight="1">
      <c r="A19" s="80"/>
      <c r="B19" s="80"/>
      <c r="C19" s="80"/>
      <c r="D19" s="80"/>
      <c r="E19" s="80"/>
      <c r="F19" s="192">
        <f>基础信息表!C16</f>
        <v>46211</v>
      </c>
      <c r="G19" s="192"/>
      <c r="H19" s="192"/>
      <c r="I19" s="192"/>
      <c r="J19" s="192"/>
      <c r="K19" s="192"/>
    </row>
    <row r="20" spans="1:11" ht="35.15" customHeight="1">
      <c r="A20" s="193" t="s">
        <v>42</v>
      </c>
      <c r="B20" s="193"/>
      <c r="C20" s="193"/>
      <c r="D20" s="193"/>
      <c r="E20" s="193"/>
      <c r="F20" s="193"/>
      <c r="G20" s="193"/>
      <c r="H20" s="193"/>
      <c r="I20" s="193"/>
      <c r="J20" s="193"/>
      <c r="K20" s="193"/>
    </row>
    <row r="21" spans="1:11" ht="23">
      <c r="A21" s="194" t="s">
        <v>43</v>
      </c>
      <c r="B21" s="193"/>
      <c r="C21" s="193"/>
      <c r="D21" s="193"/>
      <c r="E21" s="193"/>
      <c r="F21" s="193"/>
      <c r="G21" s="193"/>
      <c r="H21" s="193"/>
      <c r="I21" s="193"/>
      <c r="J21" s="193"/>
      <c r="K21" s="193"/>
    </row>
    <row r="22" spans="1:11" ht="21" customHeight="1">
      <c r="A22" s="195" t="s">
        <v>44</v>
      </c>
      <c r="B22" s="196"/>
      <c r="C22" s="196"/>
      <c r="D22" s="196"/>
      <c r="E22" s="196"/>
      <c r="F22" s="196"/>
      <c r="G22" s="196"/>
      <c r="H22" s="196"/>
      <c r="I22" s="196"/>
      <c r="J22" s="196"/>
      <c r="K22" s="196"/>
    </row>
    <row r="23" spans="1:11" ht="25" customHeight="1">
      <c r="A23" s="197" t="s">
        <v>2</v>
      </c>
      <c r="B23" s="197"/>
      <c r="C23" s="198">
        <f>基础信息表!C3</f>
        <v>0</v>
      </c>
      <c r="D23" s="198"/>
      <c r="E23" s="198"/>
      <c r="F23" s="198"/>
      <c r="G23" s="198"/>
      <c r="H23" s="198"/>
      <c r="I23" s="198"/>
      <c r="J23" s="198"/>
      <c r="K23" s="198"/>
    </row>
    <row r="24" spans="1:11" s="75" customFormat="1" ht="22" customHeight="1">
      <c r="A24" s="197" t="s">
        <v>45</v>
      </c>
      <c r="B24" s="197"/>
      <c r="C24" s="81" t="str">
        <f>基础信息表!C7</f>
        <v>成员1</v>
      </c>
      <c r="D24" s="199" t="s">
        <v>46</v>
      </c>
      <c r="E24" s="199"/>
      <c r="F24" s="200" t="str">
        <f>基础信息表!B6</f>
        <v>0901</v>
      </c>
      <c r="G24" s="201"/>
      <c r="H24" s="201"/>
      <c r="I24" s="82"/>
      <c r="J24" s="82"/>
      <c r="K24" s="82"/>
    </row>
    <row r="25" spans="1:11" s="76" customFormat="1" ht="22" customHeight="1">
      <c r="A25" s="197" t="s">
        <v>47</v>
      </c>
      <c r="B25" s="197"/>
      <c r="C25" s="83">
        <f>基础信息表!D7</f>
        <v>0</v>
      </c>
      <c r="D25" s="202" t="s">
        <v>48</v>
      </c>
      <c r="E25" s="203"/>
      <c r="F25" s="204">
        <f>基础信息表!E7</f>
        <v>0</v>
      </c>
      <c r="G25" s="204"/>
      <c r="H25" s="204"/>
      <c r="I25" s="205" t="s">
        <v>49</v>
      </c>
      <c r="J25" s="205"/>
      <c r="K25" s="84" t="str">
        <f>基础信息表!F6</f>
        <v>自动化2301</v>
      </c>
    </row>
    <row r="26" spans="1:11" ht="14.25" customHeight="1">
      <c r="A26" s="8"/>
      <c r="B26" s="8"/>
      <c r="C26" s="85"/>
      <c r="D26" s="85"/>
      <c r="E26" s="8"/>
      <c r="F26" s="8"/>
      <c r="G26" s="8"/>
      <c r="H26" s="85"/>
      <c r="I26" s="85"/>
      <c r="J26" s="8"/>
      <c r="K26" s="8"/>
    </row>
    <row r="27" spans="1:11" ht="15.75" customHeight="1">
      <c r="A27" s="206" t="s">
        <v>50</v>
      </c>
      <c r="B27" s="219" t="s">
        <v>51</v>
      </c>
      <c r="C27" s="229" t="s">
        <v>52</v>
      </c>
      <c r="D27" s="230"/>
      <c r="E27" s="231"/>
      <c r="F27" s="206" t="s">
        <v>53</v>
      </c>
      <c r="G27" s="206" t="s">
        <v>54</v>
      </c>
      <c r="H27" s="206"/>
      <c r="I27" s="206"/>
      <c r="J27" s="206"/>
      <c r="K27" s="206" t="s">
        <v>55</v>
      </c>
    </row>
    <row r="28" spans="1:11" ht="15">
      <c r="A28" s="206"/>
      <c r="B28" s="220"/>
      <c r="C28" s="232"/>
      <c r="D28" s="233"/>
      <c r="E28" s="234"/>
      <c r="F28" s="206"/>
      <c r="G28" s="86">
        <v>5</v>
      </c>
      <c r="H28" s="86">
        <v>4</v>
      </c>
      <c r="I28" s="86">
        <v>3</v>
      </c>
      <c r="J28" s="86">
        <v>2</v>
      </c>
      <c r="K28" s="206"/>
    </row>
    <row r="29" spans="1:11" ht="88" customHeight="1">
      <c r="A29" s="87">
        <v>1</v>
      </c>
      <c r="B29" s="87" t="s">
        <v>56</v>
      </c>
      <c r="C29" s="207" t="s">
        <v>57</v>
      </c>
      <c r="D29" s="208"/>
      <c r="E29" s="209"/>
      <c r="F29" s="88">
        <v>0.2</v>
      </c>
      <c r="G29" s="78"/>
      <c r="H29" s="78">
        <v>1</v>
      </c>
      <c r="I29" s="78"/>
      <c r="J29" s="78"/>
      <c r="K29" s="89">
        <f t="shared" ref="K29:K34" si="1">F29*(G29*$G$9+$H$9*H29+$I$9*I29+$J$9*J29)</f>
        <v>0.8</v>
      </c>
    </row>
    <row r="30" spans="1:11" ht="93" customHeight="1">
      <c r="A30" s="87">
        <v>2</v>
      </c>
      <c r="B30" s="87" t="s">
        <v>58</v>
      </c>
      <c r="C30" s="207" t="s">
        <v>59</v>
      </c>
      <c r="D30" s="208"/>
      <c r="E30" s="209" t="s">
        <v>60</v>
      </c>
      <c r="F30" s="88">
        <v>0.4</v>
      </c>
      <c r="G30" s="78"/>
      <c r="H30" s="78">
        <v>1</v>
      </c>
      <c r="I30" s="78"/>
      <c r="J30" s="78"/>
      <c r="K30" s="89">
        <f t="shared" si="1"/>
        <v>1.6</v>
      </c>
    </row>
    <row r="31" spans="1:11" ht="50.15" customHeight="1">
      <c r="A31" s="87">
        <v>3</v>
      </c>
      <c r="B31" s="87" t="s">
        <v>61</v>
      </c>
      <c r="C31" s="207" t="s">
        <v>62</v>
      </c>
      <c r="D31" s="208"/>
      <c r="E31" s="209" t="s">
        <v>60</v>
      </c>
      <c r="F31" s="88">
        <v>0.1</v>
      </c>
      <c r="G31" s="78"/>
      <c r="H31" s="78">
        <v>1</v>
      </c>
      <c r="I31" s="78"/>
      <c r="J31" s="78"/>
      <c r="K31" s="89">
        <f t="shared" si="1"/>
        <v>0.4</v>
      </c>
    </row>
    <row r="32" spans="1:11" ht="41" customHeight="1">
      <c r="A32" s="87">
        <v>4</v>
      </c>
      <c r="B32" s="221" t="s">
        <v>63</v>
      </c>
      <c r="C32" s="207" t="s">
        <v>64</v>
      </c>
      <c r="D32" s="208"/>
      <c r="E32" s="209"/>
      <c r="F32" s="88">
        <v>0.1</v>
      </c>
      <c r="G32" s="78">
        <v>1</v>
      </c>
      <c r="H32" s="78"/>
      <c r="I32" s="78"/>
      <c r="J32" s="78"/>
      <c r="K32" s="89">
        <f t="shared" si="1"/>
        <v>0.5</v>
      </c>
    </row>
    <row r="33" spans="1:11" ht="53" customHeight="1">
      <c r="A33" s="87">
        <v>5</v>
      </c>
      <c r="B33" s="222"/>
      <c r="C33" s="207" t="s">
        <v>65</v>
      </c>
      <c r="D33" s="208"/>
      <c r="E33" s="209"/>
      <c r="F33" s="88">
        <v>0.1</v>
      </c>
      <c r="G33" s="78">
        <v>1</v>
      </c>
      <c r="H33" s="78"/>
      <c r="I33" s="78"/>
      <c r="J33" s="78"/>
      <c r="K33" s="89">
        <f t="shared" si="1"/>
        <v>0.5</v>
      </c>
    </row>
    <row r="34" spans="1:11" ht="56" customHeight="1">
      <c r="A34" s="87">
        <v>6</v>
      </c>
      <c r="B34" s="87" t="s">
        <v>66</v>
      </c>
      <c r="C34" s="207" t="s">
        <v>67</v>
      </c>
      <c r="D34" s="208"/>
      <c r="E34" s="209" t="s">
        <v>68</v>
      </c>
      <c r="F34" s="88">
        <v>0.1</v>
      </c>
      <c r="G34" s="78"/>
      <c r="H34" s="78">
        <v>1</v>
      </c>
      <c r="I34" s="78"/>
      <c r="J34" s="78"/>
      <c r="K34" s="89">
        <f t="shared" si="1"/>
        <v>0.4</v>
      </c>
    </row>
    <row r="35" spans="1:11" ht="30" customHeight="1">
      <c r="A35" s="210" t="s">
        <v>69</v>
      </c>
      <c r="B35" s="211"/>
      <c r="C35" s="211"/>
      <c r="D35" s="211"/>
      <c r="E35" s="211"/>
      <c r="F35" s="211"/>
      <c r="G35" s="211"/>
      <c r="H35" s="211"/>
      <c r="I35" s="211"/>
      <c r="J35" s="212"/>
      <c r="K35" s="90">
        <f>SUM(K29:K34)</f>
        <v>4.2</v>
      </c>
    </row>
    <row r="36" spans="1:11" ht="10" customHeight="1">
      <c r="A36" s="91"/>
      <c r="B36" s="92"/>
      <c r="C36" s="92"/>
      <c r="D36" s="92"/>
      <c r="E36" s="92"/>
      <c r="F36" s="92"/>
      <c r="G36" s="92"/>
      <c r="H36" s="92"/>
      <c r="I36" s="92"/>
      <c r="J36" s="92"/>
      <c r="K36" s="92"/>
    </row>
    <row r="37" spans="1:11" ht="42" customHeight="1">
      <c r="A37" s="91"/>
      <c r="B37" s="92"/>
      <c r="C37" s="92"/>
      <c r="D37" s="92"/>
      <c r="E37" s="213" t="s">
        <v>70</v>
      </c>
      <c r="F37" s="213"/>
      <c r="G37" s="213"/>
      <c r="H37" s="213"/>
      <c r="I37" s="214" t="str">
        <f>基础信息表!C11</f>
        <v>=DISPIMG("ID_A08B1BBDD01046CB8B5D1E00D71465ED",1)</v>
      </c>
      <c r="J37" s="214"/>
      <c r="K37" s="214"/>
    </row>
    <row r="38" spans="1:11" ht="30" customHeight="1">
      <c r="A38" s="92"/>
      <c r="B38" s="92"/>
      <c r="C38" s="92"/>
      <c r="D38" s="92"/>
      <c r="E38" s="92"/>
      <c r="F38" s="192">
        <f>F19</f>
        <v>46211</v>
      </c>
      <c r="G38" s="192"/>
      <c r="H38" s="192"/>
      <c r="I38" s="192"/>
      <c r="J38" s="192"/>
      <c r="K38" s="192"/>
    </row>
    <row r="39" spans="1:11" ht="35.15" customHeight="1">
      <c r="A39" s="193" t="s">
        <v>42</v>
      </c>
      <c r="B39" s="193"/>
      <c r="C39" s="193"/>
      <c r="D39" s="193"/>
      <c r="E39" s="193"/>
      <c r="F39" s="193"/>
      <c r="G39" s="193"/>
      <c r="H39" s="193"/>
      <c r="I39" s="193"/>
      <c r="J39" s="193"/>
      <c r="K39" s="193"/>
    </row>
    <row r="40" spans="1:11" ht="23">
      <c r="A40" s="194" t="s">
        <v>43</v>
      </c>
      <c r="B40" s="193"/>
      <c r="C40" s="193"/>
      <c r="D40" s="193"/>
      <c r="E40" s="193"/>
      <c r="F40" s="193"/>
      <c r="G40" s="193"/>
      <c r="H40" s="193"/>
      <c r="I40" s="193"/>
      <c r="J40" s="193"/>
      <c r="K40" s="193"/>
    </row>
    <row r="41" spans="1:11" ht="21" customHeight="1">
      <c r="A41" s="195" t="s">
        <v>71</v>
      </c>
      <c r="B41" s="196"/>
      <c r="C41" s="196"/>
      <c r="D41" s="196"/>
      <c r="E41" s="196"/>
      <c r="F41" s="196"/>
      <c r="G41" s="196"/>
      <c r="H41" s="196"/>
      <c r="I41" s="196"/>
      <c r="J41" s="196"/>
      <c r="K41" s="196"/>
    </row>
    <row r="42" spans="1:11" ht="25" customHeight="1">
      <c r="A42" s="197" t="s">
        <v>2</v>
      </c>
      <c r="B42" s="197"/>
      <c r="C42" s="198">
        <f>基础信息表!C3</f>
        <v>0</v>
      </c>
      <c r="D42" s="198"/>
      <c r="E42" s="198"/>
      <c r="F42" s="198"/>
      <c r="G42" s="198"/>
      <c r="H42" s="198"/>
      <c r="I42" s="198"/>
      <c r="J42" s="198"/>
      <c r="K42" s="198"/>
    </row>
    <row r="43" spans="1:11" s="75" customFormat="1" ht="22" customHeight="1">
      <c r="A43" s="197" t="s">
        <v>45</v>
      </c>
      <c r="B43" s="197"/>
      <c r="C43" s="81" t="str">
        <f>基础信息表!C8</f>
        <v>成员2</v>
      </c>
      <c r="D43" s="199" t="s">
        <v>46</v>
      </c>
      <c r="E43" s="199"/>
      <c r="F43" s="200" t="str">
        <f>基础信息表!B6</f>
        <v>0901</v>
      </c>
      <c r="G43" s="201"/>
      <c r="H43" s="201"/>
      <c r="I43" s="82"/>
      <c r="J43" s="82"/>
      <c r="K43" s="82"/>
    </row>
    <row r="44" spans="1:11" s="76" customFormat="1" ht="22" customHeight="1">
      <c r="A44" s="197" t="s">
        <v>47</v>
      </c>
      <c r="B44" s="197"/>
      <c r="C44" s="83">
        <f>基础信息表!D8</f>
        <v>0</v>
      </c>
      <c r="D44" s="202" t="s">
        <v>48</v>
      </c>
      <c r="E44" s="203"/>
      <c r="F44" s="204">
        <f>基础信息表!E8</f>
        <v>0</v>
      </c>
      <c r="G44" s="204"/>
      <c r="H44" s="204"/>
      <c r="I44" s="205" t="s">
        <v>49</v>
      </c>
      <c r="J44" s="205"/>
      <c r="K44" s="84" t="str">
        <f>基础信息表!F8</f>
        <v>自动化2301</v>
      </c>
    </row>
    <row r="45" spans="1:11" ht="14.25" customHeight="1">
      <c r="A45" s="8"/>
      <c r="B45" s="8"/>
      <c r="C45" s="85"/>
      <c r="D45" s="85"/>
      <c r="E45" s="8"/>
      <c r="F45" s="8"/>
      <c r="G45" s="8"/>
      <c r="H45" s="85"/>
      <c r="I45" s="85"/>
      <c r="J45" s="8"/>
      <c r="K45" s="8"/>
    </row>
    <row r="46" spans="1:11" ht="15.75" customHeight="1">
      <c r="A46" s="206" t="s">
        <v>50</v>
      </c>
      <c r="B46" s="219" t="s">
        <v>51</v>
      </c>
      <c r="C46" s="229" t="s">
        <v>52</v>
      </c>
      <c r="D46" s="230"/>
      <c r="E46" s="231"/>
      <c r="F46" s="206" t="s">
        <v>53</v>
      </c>
      <c r="G46" s="206" t="s">
        <v>54</v>
      </c>
      <c r="H46" s="206"/>
      <c r="I46" s="206"/>
      <c r="J46" s="206"/>
      <c r="K46" s="206" t="s">
        <v>55</v>
      </c>
    </row>
    <row r="47" spans="1:11" ht="15">
      <c r="A47" s="206"/>
      <c r="B47" s="220"/>
      <c r="C47" s="232"/>
      <c r="D47" s="233"/>
      <c r="E47" s="234"/>
      <c r="F47" s="206"/>
      <c r="G47" s="86">
        <v>5</v>
      </c>
      <c r="H47" s="86">
        <v>4</v>
      </c>
      <c r="I47" s="86">
        <v>3</v>
      </c>
      <c r="J47" s="86">
        <v>2</v>
      </c>
      <c r="K47" s="206"/>
    </row>
    <row r="48" spans="1:11" ht="88" customHeight="1">
      <c r="A48" s="87">
        <v>1</v>
      </c>
      <c r="B48" s="87" t="s">
        <v>56</v>
      </c>
      <c r="C48" s="207" t="s">
        <v>57</v>
      </c>
      <c r="D48" s="208"/>
      <c r="E48" s="209"/>
      <c r="F48" s="88">
        <v>0.2</v>
      </c>
      <c r="G48" s="78"/>
      <c r="H48" s="78"/>
      <c r="I48" s="78">
        <v>1</v>
      </c>
      <c r="J48" s="78"/>
      <c r="K48" s="89">
        <f t="shared" ref="K48:K53" si="2">F48*(G48*$G$9+$H$9*H48+$I$9*I48+$J$9*J48)</f>
        <v>0.6</v>
      </c>
    </row>
    <row r="49" spans="1:11" ht="93" customHeight="1">
      <c r="A49" s="87">
        <v>2</v>
      </c>
      <c r="B49" s="87" t="s">
        <v>58</v>
      </c>
      <c r="C49" s="207" t="s">
        <v>59</v>
      </c>
      <c r="D49" s="208"/>
      <c r="E49" s="209" t="s">
        <v>60</v>
      </c>
      <c r="F49" s="88">
        <v>0.4</v>
      </c>
      <c r="G49" s="78"/>
      <c r="H49" s="78">
        <v>1</v>
      </c>
      <c r="I49" s="78"/>
      <c r="J49" s="78"/>
      <c r="K49" s="89">
        <f t="shared" si="2"/>
        <v>1.6</v>
      </c>
    </row>
    <row r="50" spans="1:11" ht="50.15" customHeight="1">
      <c r="A50" s="87">
        <v>3</v>
      </c>
      <c r="B50" s="87" t="s">
        <v>61</v>
      </c>
      <c r="C50" s="207" t="s">
        <v>62</v>
      </c>
      <c r="D50" s="208"/>
      <c r="E50" s="209" t="s">
        <v>60</v>
      </c>
      <c r="F50" s="88">
        <v>0.1</v>
      </c>
      <c r="G50" s="78"/>
      <c r="H50" s="78">
        <v>1</v>
      </c>
      <c r="I50" s="78"/>
      <c r="J50" s="78"/>
      <c r="K50" s="89">
        <f t="shared" si="2"/>
        <v>0.4</v>
      </c>
    </row>
    <row r="51" spans="1:11" ht="41" customHeight="1">
      <c r="A51" s="87">
        <v>4</v>
      </c>
      <c r="B51" s="221" t="s">
        <v>63</v>
      </c>
      <c r="C51" s="207" t="s">
        <v>64</v>
      </c>
      <c r="D51" s="208"/>
      <c r="E51" s="209"/>
      <c r="F51" s="88">
        <v>0.1</v>
      </c>
      <c r="G51" s="78"/>
      <c r="H51" s="78"/>
      <c r="I51" s="78">
        <v>1</v>
      </c>
      <c r="J51" s="78"/>
      <c r="K51" s="89">
        <f t="shared" si="2"/>
        <v>0.3</v>
      </c>
    </row>
    <row r="52" spans="1:11" ht="53" customHeight="1">
      <c r="A52" s="87">
        <v>5</v>
      </c>
      <c r="B52" s="222"/>
      <c r="C52" s="207" t="s">
        <v>65</v>
      </c>
      <c r="D52" s="208"/>
      <c r="E52" s="209"/>
      <c r="F52" s="88">
        <v>0.1</v>
      </c>
      <c r="G52" s="78">
        <v>1</v>
      </c>
      <c r="H52" s="78"/>
      <c r="I52" s="78"/>
      <c r="J52" s="78"/>
      <c r="K52" s="89">
        <f t="shared" si="2"/>
        <v>0.5</v>
      </c>
    </row>
    <row r="53" spans="1:11" ht="56" customHeight="1">
      <c r="A53" s="87">
        <v>6</v>
      </c>
      <c r="B53" s="87" t="s">
        <v>66</v>
      </c>
      <c r="C53" s="207" t="s">
        <v>67</v>
      </c>
      <c r="D53" s="208"/>
      <c r="E53" s="209" t="s">
        <v>68</v>
      </c>
      <c r="F53" s="88">
        <v>0.1</v>
      </c>
      <c r="G53" s="78"/>
      <c r="H53" s="78">
        <v>1</v>
      </c>
      <c r="I53" s="78"/>
      <c r="J53" s="78"/>
      <c r="K53" s="89">
        <f t="shared" si="2"/>
        <v>0.4</v>
      </c>
    </row>
    <row r="54" spans="1:11" ht="30" customHeight="1">
      <c r="A54" s="210" t="s">
        <v>69</v>
      </c>
      <c r="B54" s="211"/>
      <c r="C54" s="211"/>
      <c r="D54" s="211"/>
      <c r="E54" s="211"/>
      <c r="F54" s="211"/>
      <c r="G54" s="211"/>
      <c r="H54" s="211"/>
      <c r="I54" s="211"/>
      <c r="J54" s="212"/>
      <c r="K54" s="90">
        <f>SUM(K48:K53)</f>
        <v>3.8</v>
      </c>
    </row>
    <row r="55" spans="1:11" ht="10" customHeight="1">
      <c r="A55" s="91"/>
      <c r="B55" s="92"/>
      <c r="C55" s="92"/>
      <c r="D55" s="92"/>
      <c r="E55" s="92"/>
      <c r="F55" s="92"/>
      <c r="G55" s="92"/>
      <c r="H55" s="92"/>
      <c r="I55" s="92"/>
      <c r="J55" s="92"/>
      <c r="K55" s="92"/>
    </row>
    <row r="56" spans="1:11" ht="45" customHeight="1">
      <c r="A56" s="91"/>
      <c r="B56" s="92"/>
      <c r="C56" s="92"/>
      <c r="D56" s="92"/>
      <c r="E56" s="213" t="s">
        <v>70</v>
      </c>
      <c r="F56" s="213"/>
      <c r="G56" s="213"/>
      <c r="H56" s="213"/>
      <c r="I56" s="214" t="str">
        <f>基础信息表!C11</f>
        <v>=DISPIMG("ID_A08B1BBDD01046CB8B5D1E00D71465ED",1)</v>
      </c>
      <c r="J56" s="214"/>
      <c r="K56" s="214"/>
    </row>
    <row r="57" spans="1:11" ht="30" customHeight="1">
      <c r="A57" s="92"/>
      <c r="B57" s="92"/>
      <c r="C57" s="92"/>
      <c r="D57" s="92"/>
      <c r="E57" s="92"/>
      <c r="F57" s="192">
        <f>F19</f>
        <v>46211</v>
      </c>
      <c r="G57" s="192"/>
      <c r="H57" s="192"/>
      <c r="I57" s="192"/>
      <c r="J57" s="192"/>
      <c r="K57" s="192"/>
    </row>
  </sheetData>
  <sheetProtection selectLockedCells="1"/>
  <mergeCells count="87">
    <mergeCell ref="F57:K57"/>
    <mergeCell ref="A8:A9"/>
    <mergeCell ref="A27:A28"/>
    <mergeCell ref="A46:A47"/>
    <mergeCell ref="B8:B9"/>
    <mergeCell ref="B13:B14"/>
    <mergeCell ref="B27:B28"/>
    <mergeCell ref="B32:B33"/>
    <mergeCell ref="B46:B47"/>
    <mergeCell ref="B51:B52"/>
    <mergeCell ref="F8:F9"/>
    <mergeCell ref="F27:F28"/>
    <mergeCell ref="F46:F47"/>
    <mergeCell ref="K8:K9"/>
    <mergeCell ref="K27:K28"/>
    <mergeCell ref="K46:K47"/>
    <mergeCell ref="C51:E51"/>
    <mergeCell ref="C52:E52"/>
    <mergeCell ref="C53:E53"/>
    <mergeCell ref="A54:J54"/>
    <mergeCell ref="E56:H56"/>
    <mergeCell ref="I56:K56"/>
    <mergeCell ref="I44:J44"/>
    <mergeCell ref="G46:J46"/>
    <mergeCell ref="C48:E48"/>
    <mergeCell ref="C49:E49"/>
    <mergeCell ref="C50:E50"/>
    <mergeCell ref="C46:E47"/>
    <mergeCell ref="A43:B43"/>
    <mergeCell ref="D43:E43"/>
    <mergeCell ref="F43:H43"/>
    <mergeCell ref="A44:B44"/>
    <mergeCell ref="D44:E44"/>
    <mergeCell ref="F44:H44"/>
    <mergeCell ref="F38:K38"/>
    <mergeCell ref="A39:K39"/>
    <mergeCell ref="A40:K40"/>
    <mergeCell ref="A41:K41"/>
    <mergeCell ref="A42:B42"/>
    <mergeCell ref="C42:K42"/>
    <mergeCell ref="C32:E32"/>
    <mergeCell ref="C33:E33"/>
    <mergeCell ref="C34:E34"/>
    <mergeCell ref="A35:J35"/>
    <mergeCell ref="E37:H37"/>
    <mergeCell ref="I37:K37"/>
    <mergeCell ref="I25:J25"/>
    <mergeCell ref="G27:J27"/>
    <mergeCell ref="C29:E29"/>
    <mergeCell ref="C30:E30"/>
    <mergeCell ref="C31:E31"/>
    <mergeCell ref="C27:E28"/>
    <mergeCell ref="A24:B24"/>
    <mergeCell ref="D24:E24"/>
    <mergeCell ref="F24:H24"/>
    <mergeCell ref="A25:B25"/>
    <mergeCell ref="D25:E25"/>
    <mergeCell ref="F25:H25"/>
    <mergeCell ref="F19:K19"/>
    <mergeCell ref="A20:K20"/>
    <mergeCell ref="A21:K21"/>
    <mergeCell ref="A22:K22"/>
    <mergeCell ref="A23:B23"/>
    <mergeCell ref="C23:K23"/>
    <mergeCell ref="C13:E13"/>
    <mergeCell ref="C14:E14"/>
    <mergeCell ref="C15:E15"/>
    <mergeCell ref="A16:J16"/>
    <mergeCell ref="E18:H18"/>
    <mergeCell ref="I18:K18"/>
    <mergeCell ref="I6:J6"/>
    <mergeCell ref="G8:J8"/>
    <mergeCell ref="C10:E10"/>
    <mergeCell ref="C11:E11"/>
    <mergeCell ref="C12:E12"/>
    <mergeCell ref="C8:E9"/>
    <mergeCell ref="A5:B5"/>
    <mergeCell ref="D5:E5"/>
    <mergeCell ref="F5:H5"/>
    <mergeCell ref="A6:B6"/>
    <mergeCell ref="D6:E6"/>
    <mergeCell ref="F6:H6"/>
    <mergeCell ref="A1:K1"/>
    <mergeCell ref="A2:K2"/>
    <mergeCell ref="A3:K3"/>
    <mergeCell ref="A4:B4"/>
    <mergeCell ref="C4:K4"/>
  </mergeCells>
  <phoneticPr fontId="45" type="noConversion"/>
  <printOptions horizontalCentered="1"/>
  <pageMargins left="0.75138888888888899" right="0.75138888888888899" top="1" bottom="1" header="0.5" footer="0.5"/>
  <pageSetup paperSize="9" orientation="portrait" r:id="rId1"/>
  <headerFooter>
    <oddHeader>&amp;C&amp;"方正公文小标宋"过程评分表</oddHeader>
    <oddFooter>&amp;C&amp;"方正公文小标宋"第 &amp;P 页，共 &amp;N 页</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1"/>
  <sheetViews>
    <sheetView view="pageBreakPreview" zoomScaleNormal="100" workbookViewId="0">
      <selection activeCell="M21" sqref="M21"/>
    </sheetView>
  </sheetViews>
  <sheetFormatPr defaultColWidth="9" defaultRowHeight="14"/>
  <cols>
    <col min="1" max="1" width="6.36328125" style="1" customWidth="1"/>
    <col min="2" max="3" width="14.36328125" style="1" customWidth="1"/>
    <col min="4" max="4" width="11" style="1" customWidth="1"/>
    <col min="5" max="5" width="7.453125" style="1" customWidth="1"/>
    <col min="6" max="6" width="4.453125" style="1" customWidth="1"/>
    <col min="7" max="8" width="4.08984375" style="1" customWidth="1"/>
    <col min="9" max="9" width="4" style="1" customWidth="1"/>
    <col min="10" max="10" width="14.7265625" style="1" customWidth="1"/>
    <col min="11" max="16384" width="9" style="1"/>
  </cols>
  <sheetData>
    <row r="1" spans="1:10" s="14" customFormat="1" ht="35.15" customHeight="1">
      <c r="A1" s="170" t="s">
        <v>42</v>
      </c>
      <c r="B1" s="170"/>
      <c r="C1" s="170"/>
      <c r="D1" s="170"/>
      <c r="E1" s="170"/>
      <c r="F1" s="170"/>
      <c r="G1" s="170"/>
      <c r="H1" s="170"/>
      <c r="I1" s="170"/>
      <c r="J1" s="170"/>
    </row>
    <row r="2" spans="1:10" s="14" customFormat="1" ht="32.15" customHeight="1">
      <c r="A2" s="235" t="s">
        <v>72</v>
      </c>
      <c r="B2" s="236"/>
      <c r="C2" s="236"/>
      <c r="D2" s="236"/>
      <c r="E2" s="236"/>
      <c r="F2" s="236"/>
      <c r="G2" s="236"/>
      <c r="H2" s="236"/>
      <c r="I2" s="236"/>
      <c r="J2" s="236"/>
    </row>
    <row r="3" spans="1:10" s="14" customFormat="1" ht="17" customHeight="1">
      <c r="A3" s="237" t="s">
        <v>73</v>
      </c>
      <c r="B3" s="238"/>
      <c r="C3" s="238"/>
      <c r="D3" s="238"/>
      <c r="E3" s="238"/>
      <c r="F3" s="238"/>
      <c r="G3" s="238"/>
      <c r="H3" s="238"/>
      <c r="I3" s="238"/>
      <c r="J3" s="238"/>
    </row>
    <row r="4" spans="1:10" s="14" customFormat="1" ht="18" customHeight="1">
      <c r="A4" s="239" t="s">
        <v>74</v>
      </c>
      <c r="B4" s="239"/>
      <c r="C4" s="240">
        <f>基础信息表!C3</f>
        <v>0</v>
      </c>
      <c r="D4" s="241"/>
      <c r="E4" s="241"/>
      <c r="F4" s="241"/>
      <c r="G4" s="241"/>
      <c r="H4" s="241"/>
      <c r="I4" s="241"/>
      <c r="J4" s="241"/>
    </row>
    <row r="5" spans="1:10" s="14" customFormat="1" ht="18" customHeight="1">
      <c r="A5" s="239" t="s">
        <v>3</v>
      </c>
      <c r="B5" s="239"/>
      <c r="C5" s="62" t="s">
        <v>4</v>
      </c>
      <c r="D5" s="62" t="s">
        <v>5</v>
      </c>
      <c r="E5" s="242" t="s">
        <v>6</v>
      </c>
      <c r="F5" s="243"/>
      <c r="G5" s="243"/>
      <c r="H5" s="243"/>
      <c r="I5" s="244"/>
      <c r="J5" s="62" t="s">
        <v>7</v>
      </c>
    </row>
    <row r="6" spans="1:10" s="14" customFormat="1" ht="18" customHeight="1">
      <c r="A6" s="245" t="str">
        <f>基础信息表!B6</f>
        <v>0901</v>
      </c>
      <c r="B6" s="246"/>
      <c r="C6" s="62" t="str">
        <f>基础信息表!C6</f>
        <v>负责人</v>
      </c>
      <c r="D6" s="63">
        <f>基础信息表!D6</f>
        <v>0</v>
      </c>
      <c r="E6" s="247">
        <f>基础信息表!E6</f>
        <v>0</v>
      </c>
      <c r="F6" s="248" t="s">
        <v>75</v>
      </c>
      <c r="G6" s="248"/>
      <c r="H6" s="248"/>
      <c r="I6" s="249"/>
      <c r="J6" s="63" t="str">
        <f>基础信息表!F6</f>
        <v>自动化2301</v>
      </c>
    </row>
    <row r="7" spans="1:10" s="14" customFormat="1" ht="18" customHeight="1">
      <c r="A7" s="239" t="s">
        <v>11</v>
      </c>
      <c r="B7" s="239"/>
      <c r="C7" s="62" t="str">
        <f>基础信息表!C7</f>
        <v>成员1</v>
      </c>
      <c r="D7" s="63">
        <f>基础信息表!D7</f>
        <v>0</v>
      </c>
      <c r="E7" s="247">
        <f>基础信息表!E7</f>
        <v>0</v>
      </c>
      <c r="F7" s="248" t="s">
        <v>75</v>
      </c>
      <c r="G7" s="248"/>
      <c r="H7" s="248"/>
      <c r="I7" s="249"/>
      <c r="J7" s="63" t="str">
        <f>基础信息表!F7</f>
        <v>自动化2301</v>
      </c>
    </row>
    <row r="8" spans="1:10" s="14" customFormat="1" ht="18" customHeight="1">
      <c r="A8" s="247" t="str">
        <f>基础信息表!B8</f>
        <v>王艳辉</v>
      </c>
      <c r="B8" s="249"/>
      <c r="C8" s="62" t="str">
        <f>基础信息表!C8</f>
        <v>成员2</v>
      </c>
      <c r="D8" s="63">
        <f>基础信息表!D8</f>
        <v>0</v>
      </c>
      <c r="E8" s="247">
        <f>基础信息表!E8</f>
        <v>0</v>
      </c>
      <c r="F8" s="248" t="s">
        <v>75</v>
      </c>
      <c r="G8" s="248"/>
      <c r="H8" s="248"/>
      <c r="I8" s="249"/>
      <c r="J8" s="63" t="str">
        <f>基础信息表!F8</f>
        <v>自动化2301</v>
      </c>
    </row>
    <row r="9" spans="1:10" s="14" customFormat="1" ht="9" customHeight="1">
      <c r="A9" s="64"/>
      <c r="B9" s="64"/>
      <c r="C9" s="65"/>
      <c r="D9" s="64"/>
      <c r="E9" s="64"/>
      <c r="F9" s="64"/>
      <c r="G9" s="65"/>
      <c r="H9" s="65"/>
      <c r="I9" s="64"/>
      <c r="J9" s="64"/>
    </row>
    <row r="10" spans="1:10" s="14" customFormat="1" ht="15.75" customHeight="1">
      <c r="A10" s="183" t="s">
        <v>50</v>
      </c>
      <c r="B10" s="215" t="s">
        <v>51</v>
      </c>
      <c r="C10" s="223" t="s">
        <v>52</v>
      </c>
      <c r="D10" s="225"/>
      <c r="E10" s="183" t="s">
        <v>53</v>
      </c>
      <c r="F10" s="183" t="s">
        <v>54</v>
      </c>
      <c r="G10" s="183"/>
      <c r="H10" s="183"/>
      <c r="I10" s="183"/>
      <c r="J10" s="183" t="s">
        <v>55</v>
      </c>
    </row>
    <row r="11" spans="1:10" s="14" customFormat="1" ht="15">
      <c r="A11" s="183"/>
      <c r="B11" s="216"/>
      <c r="C11" s="226"/>
      <c r="D11" s="228"/>
      <c r="E11" s="183"/>
      <c r="F11" s="66">
        <v>5</v>
      </c>
      <c r="G11" s="66">
        <v>4</v>
      </c>
      <c r="H11" s="66">
        <v>3</v>
      </c>
      <c r="I11" s="66">
        <v>2</v>
      </c>
      <c r="J11" s="183"/>
    </row>
    <row r="12" spans="1:10" ht="54" customHeight="1">
      <c r="A12" s="23">
        <v>1</v>
      </c>
      <c r="B12" s="23" t="s">
        <v>56</v>
      </c>
      <c r="C12" s="184" t="s">
        <v>76</v>
      </c>
      <c r="D12" s="186"/>
      <c r="E12" s="67">
        <v>0.2</v>
      </c>
      <c r="F12" s="68"/>
      <c r="G12" s="68">
        <v>1</v>
      </c>
      <c r="H12" s="68"/>
      <c r="I12" s="68"/>
      <c r="J12" s="69">
        <f t="shared" ref="J12:J17" si="0">E12*(F12*$F$11+$G$11*G12+$H$11*H12+$I$11*I12)</f>
        <v>0.8</v>
      </c>
    </row>
    <row r="13" spans="1:10" ht="93" customHeight="1">
      <c r="A13" s="23">
        <v>2</v>
      </c>
      <c r="B13" s="23" t="s">
        <v>58</v>
      </c>
      <c r="C13" s="184" t="s">
        <v>77</v>
      </c>
      <c r="D13" s="186"/>
      <c r="E13" s="67">
        <v>0.4</v>
      </c>
      <c r="F13" s="68"/>
      <c r="G13" s="68"/>
      <c r="H13" s="68">
        <v>1</v>
      </c>
      <c r="I13" s="68"/>
      <c r="J13" s="69">
        <f t="shared" si="0"/>
        <v>1.2</v>
      </c>
    </row>
    <row r="14" spans="1:10" ht="50.15" customHeight="1">
      <c r="A14" s="23">
        <v>3</v>
      </c>
      <c r="B14" s="23" t="s">
        <v>61</v>
      </c>
      <c r="C14" s="184" t="s">
        <v>62</v>
      </c>
      <c r="D14" s="186"/>
      <c r="E14" s="67">
        <v>0.1</v>
      </c>
      <c r="F14" s="68"/>
      <c r="G14" s="68">
        <v>1</v>
      </c>
      <c r="H14" s="68"/>
      <c r="I14" s="68"/>
      <c r="J14" s="69">
        <f t="shared" si="0"/>
        <v>0.4</v>
      </c>
    </row>
    <row r="15" spans="1:10" ht="36" customHeight="1">
      <c r="A15" s="23">
        <v>4</v>
      </c>
      <c r="B15" s="217" t="s">
        <v>63</v>
      </c>
      <c r="C15" s="184" t="s">
        <v>78</v>
      </c>
      <c r="D15" s="186"/>
      <c r="E15" s="67">
        <v>0.1</v>
      </c>
      <c r="F15" s="68"/>
      <c r="G15" s="68"/>
      <c r="H15" s="68">
        <v>1</v>
      </c>
      <c r="I15" s="68"/>
      <c r="J15" s="69">
        <f t="shared" si="0"/>
        <v>0.3</v>
      </c>
    </row>
    <row r="16" spans="1:10" ht="45" customHeight="1">
      <c r="A16" s="23">
        <v>5</v>
      </c>
      <c r="B16" s="218"/>
      <c r="C16" s="184" t="s">
        <v>79</v>
      </c>
      <c r="D16" s="186"/>
      <c r="E16" s="67">
        <v>0.1</v>
      </c>
      <c r="F16" s="68"/>
      <c r="G16" s="68">
        <v>1</v>
      </c>
      <c r="H16" s="68"/>
      <c r="I16" s="68"/>
      <c r="J16" s="69">
        <f t="shared" si="0"/>
        <v>0.4</v>
      </c>
    </row>
    <row r="17" spans="1:10" ht="65.150000000000006" customHeight="1">
      <c r="A17" s="23">
        <v>6</v>
      </c>
      <c r="B17" s="23" t="s">
        <v>66</v>
      </c>
      <c r="C17" s="184" t="s">
        <v>80</v>
      </c>
      <c r="D17" s="186"/>
      <c r="E17" s="67">
        <v>0.1</v>
      </c>
      <c r="F17" s="68"/>
      <c r="G17" s="68"/>
      <c r="H17" s="68">
        <v>1</v>
      </c>
      <c r="I17" s="68"/>
      <c r="J17" s="69">
        <f t="shared" si="0"/>
        <v>0.3</v>
      </c>
    </row>
    <row r="18" spans="1:10" s="14" customFormat="1" ht="30" customHeight="1">
      <c r="A18" s="187" t="s">
        <v>81</v>
      </c>
      <c r="B18" s="188"/>
      <c r="C18" s="188"/>
      <c r="D18" s="188"/>
      <c r="E18" s="188"/>
      <c r="F18" s="188"/>
      <c r="G18" s="188"/>
      <c r="H18" s="188"/>
      <c r="I18" s="189"/>
      <c r="J18" s="70">
        <f>SUM(J12:J17)</f>
        <v>3.4</v>
      </c>
    </row>
    <row r="19" spans="1:10" s="14" customFormat="1" ht="18" customHeight="1">
      <c r="A19" s="71"/>
      <c r="B19" s="72"/>
      <c r="C19" s="72"/>
      <c r="D19" s="72"/>
      <c r="E19" s="73"/>
      <c r="F19" s="73"/>
      <c r="G19" s="73"/>
      <c r="H19" s="73"/>
      <c r="I19" s="73"/>
      <c r="J19" s="73"/>
    </row>
    <row r="20" spans="1:10" ht="45" customHeight="1">
      <c r="A20" s="250" t="s">
        <v>82</v>
      </c>
      <c r="B20" s="250"/>
      <c r="C20" s="251" t="str">
        <f>基础信息表!C12</f>
        <v>=DISPIMG("ID_1F1695394C5D4F30B6211CC67EB5DEA1",1)</v>
      </c>
      <c r="D20" s="251"/>
      <c r="E20" s="251"/>
      <c r="F20" s="251"/>
      <c r="G20" s="251"/>
      <c r="H20" s="251"/>
      <c r="I20" s="251"/>
      <c r="J20" s="74"/>
    </row>
    <row r="21" spans="1:10" s="14" customFormat="1" ht="30" customHeight="1">
      <c r="A21" s="72"/>
      <c r="B21" s="72"/>
      <c r="C21" s="72"/>
      <c r="D21" s="72"/>
      <c r="E21" s="192">
        <f>基础信息表!D16</f>
        <v>46212</v>
      </c>
      <c r="F21" s="192"/>
      <c r="G21" s="192"/>
      <c r="H21" s="192"/>
      <c r="I21" s="192"/>
      <c r="J21" s="192"/>
    </row>
  </sheetData>
  <sheetProtection selectLockedCells="1"/>
  <protectedRanges>
    <protectedRange sqref="F12:I17" name="区域2" securityDescriptor="O:WDG:WDD:"/>
  </protectedRanges>
  <mergeCells count="30">
    <mergeCell ref="A20:B20"/>
    <mergeCell ref="C20:I20"/>
    <mergeCell ref="E21:J21"/>
    <mergeCell ref="A10:A11"/>
    <mergeCell ref="B10:B11"/>
    <mergeCell ref="B15:B16"/>
    <mergeCell ref="E10:E11"/>
    <mergeCell ref="J10:J11"/>
    <mergeCell ref="C10:D11"/>
    <mergeCell ref="C14:D14"/>
    <mergeCell ref="C15:D15"/>
    <mergeCell ref="C16:D16"/>
    <mergeCell ref="C17:D17"/>
    <mergeCell ref="A18:I18"/>
    <mergeCell ref="A8:B8"/>
    <mergeCell ref="E8:I8"/>
    <mergeCell ref="F10:I10"/>
    <mergeCell ref="C12:D12"/>
    <mergeCell ref="C13:D13"/>
    <mergeCell ref="A5:B5"/>
    <mergeCell ref="E5:I5"/>
    <mergeCell ref="A6:B6"/>
    <mergeCell ref="E6:I6"/>
    <mergeCell ref="A7:B7"/>
    <mergeCell ref="E7:I7"/>
    <mergeCell ref="A1:J1"/>
    <mergeCell ref="A2:J2"/>
    <mergeCell ref="A3:J3"/>
    <mergeCell ref="A4:B4"/>
    <mergeCell ref="C4:J4"/>
  </mergeCells>
  <phoneticPr fontId="45" type="noConversion"/>
  <printOptions horizontalCentered="1"/>
  <pageMargins left="0.75138888888888899" right="0.75138888888888899"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4"/>
  <sheetViews>
    <sheetView tabSelected="1" view="pageBreakPreview" zoomScaleNormal="100" zoomScalePageLayoutView="130" workbookViewId="0">
      <selection activeCell="C7" sqref="C7:E7"/>
    </sheetView>
  </sheetViews>
  <sheetFormatPr defaultColWidth="9" defaultRowHeight="14"/>
  <cols>
    <col min="1" max="1" width="14.81640625" style="32" customWidth="1"/>
    <col min="2" max="2" width="16.6328125" style="32" customWidth="1"/>
    <col min="3" max="3" width="12.453125" style="32" customWidth="1"/>
    <col min="4" max="4" width="17.7265625" style="32" customWidth="1"/>
    <col min="5" max="5" width="11.54296875" style="32" customWidth="1"/>
    <col min="6" max="6" width="8.36328125" style="32" customWidth="1"/>
    <col min="7" max="7" width="7.7265625" style="32" customWidth="1"/>
    <col min="8" max="16384" width="9" style="32"/>
  </cols>
  <sheetData>
    <row r="1" spans="1:7" ht="28" customHeight="1">
      <c r="A1" s="111" t="s">
        <v>83</v>
      </c>
      <c r="B1" s="112"/>
      <c r="C1" s="112"/>
      <c r="D1" s="112"/>
      <c r="E1" s="112"/>
      <c r="F1" s="112"/>
      <c r="G1" s="112"/>
    </row>
    <row r="2" spans="1:7" ht="59" customHeight="1">
      <c r="A2" s="113" t="s">
        <v>84</v>
      </c>
      <c r="B2" s="114"/>
      <c r="C2" s="114"/>
      <c r="D2" s="114"/>
      <c r="E2" s="114"/>
      <c r="F2" s="114"/>
      <c r="G2" s="114"/>
    </row>
    <row r="3" spans="1:7" ht="24" customHeight="1">
      <c r="A3" s="33" t="s">
        <v>45</v>
      </c>
      <c r="B3" s="115" t="str">
        <f>基础信息表!C6</f>
        <v>负责人</v>
      </c>
      <c r="C3" s="116"/>
      <c r="D3" s="34" t="s">
        <v>46</v>
      </c>
      <c r="E3" s="117" t="s">
        <v>85</v>
      </c>
      <c r="F3" s="116"/>
      <c r="G3" s="118"/>
    </row>
    <row r="4" spans="1:7" ht="24" customHeight="1">
      <c r="A4" s="35" t="s">
        <v>2</v>
      </c>
      <c r="B4" s="274" t="s">
        <v>167</v>
      </c>
      <c r="C4" s="275"/>
      <c r="D4" s="275"/>
      <c r="E4" s="275"/>
      <c r="F4" s="275"/>
      <c r="G4" s="276"/>
    </row>
    <row r="5" spans="1:7" ht="24" customHeight="1">
      <c r="A5" s="35" t="s">
        <v>47</v>
      </c>
      <c r="B5" s="36" t="s">
        <v>86</v>
      </c>
      <c r="C5" s="37" t="s">
        <v>87</v>
      </c>
      <c r="D5" s="109" t="s">
        <v>88</v>
      </c>
      <c r="E5" s="37" t="s">
        <v>49</v>
      </c>
      <c r="F5" s="122" t="s">
        <v>89</v>
      </c>
      <c r="G5" s="123"/>
    </row>
    <row r="6" spans="1:7" ht="24" customHeight="1">
      <c r="A6" s="124" t="s">
        <v>90</v>
      </c>
      <c r="B6" s="124"/>
      <c r="C6" s="124"/>
      <c r="D6" s="124"/>
      <c r="E6" s="124"/>
      <c r="F6" s="124"/>
      <c r="G6" s="124"/>
    </row>
    <row r="7" spans="1:7" ht="37" customHeight="1">
      <c r="A7" s="39" t="s">
        <v>91</v>
      </c>
      <c r="B7" s="40" t="s">
        <v>92</v>
      </c>
      <c r="C7" s="125" t="s">
        <v>51</v>
      </c>
      <c r="D7" s="125"/>
      <c r="E7" s="125"/>
      <c r="F7" s="40" t="s">
        <v>93</v>
      </c>
      <c r="G7" s="40" t="s">
        <v>94</v>
      </c>
    </row>
    <row r="8" spans="1:7" ht="40" customHeight="1">
      <c r="A8" s="41" t="s">
        <v>95</v>
      </c>
      <c r="B8" s="41" t="s">
        <v>96</v>
      </c>
      <c r="C8" s="126" t="s">
        <v>97</v>
      </c>
      <c r="D8" s="126"/>
      <c r="E8" s="126"/>
      <c r="F8" s="42">
        <v>15</v>
      </c>
      <c r="G8" s="43">
        <v>15</v>
      </c>
    </row>
    <row r="9" spans="1:7" ht="40" customHeight="1">
      <c r="A9" s="41" t="s">
        <v>98</v>
      </c>
      <c r="B9" s="41" t="s">
        <v>96</v>
      </c>
      <c r="C9" s="126" t="s">
        <v>99</v>
      </c>
      <c r="D9" s="126"/>
      <c r="E9" s="126"/>
      <c r="F9" s="42">
        <v>20</v>
      </c>
      <c r="G9" s="43">
        <v>20</v>
      </c>
    </row>
    <row r="10" spans="1:7" ht="40" customHeight="1">
      <c r="A10" s="41" t="s">
        <v>100</v>
      </c>
      <c r="B10" s="41" t="s">
        <v>96</v>
      </c>
      <c r="C10" s="126" t="s">
        <v>101</v>
      </c>
      <c r="D10" s="126"/>
      <c r="E10" s="126"/>
      <c r="F10" s="42">
        <v>15</v>
      </c>
      <c r="G10" s="43">
        <v>15</v>
      </c>
    </row>
    <row r="11" spans="1:7" ht="40" customHeight="1">
      <c r="A11" s="41" t="s">
        <v>102</v>
      </c>
      <c r="B11" s="41" t="s">
        <v>103</v>
      </c>
      <c r="C11" s="126" t="s">
        <v>104</v>
      </c>
      <c r="D11" s="126"/>
      <c r="E11" s="126"/>
      <c r="F11" s="42">
        <v>15</v>
      </c>
      <c r="G11" s="43">
        <v>15</v>
      </c>
    </row>
    <row r="12" spans="1:7" ht="40" customHeight="1">
      <c r="A12" s="41" t="s">
        <v>105</v>
      </c>
      <c r="B12" s="41" t="s">
        <v>103</v>
      </c>
      <c r="C12" s="126" t="s">
        <v>106</v>
      </c>
      <c r="D12" s="126"/>
      <c r="E12" s="126"/>
      <c r="F12" s="42">
        <v>15</v>
      </c>
      <c r="G12" s="43">
        <v>15</v>
      </c>
    </row>
    <row r="13" spans="1:7" ht="40" customHeight="1">
      <c r="A13" s="41" t="s">
        <v>107</v>
      </c>
      <c r="B13" s="41" t="s">
        <v>103</v>
      </c>
      <c r="C13" s="126" t="s">
        <v>108</v>
      </c>
      <c r="D13" s="126"/>
      <c r="E13" s="126"/>
      <c r="F13" s="42">
        <v>15</v>
      </c>
      <c r="G13" s="43">
        <v>15</v>
      </c>
    </row>
    <row r="14" spans="1:7" ht="40" customHeight="1">
      <c r="A14" s="41" t="s">
        <v>109</v>
      </c>
      <c r="B14" s="41" t="s">
        <v>103</v>
      </c>
      <c r="C14" s="126" t="s">
        <v>110</v>
      </c>
      <c r="D14" s="126"/>
      <c r="E14" s="126"/>
      <c r="F14" s="42">
        <v>5</v>
      </c>
      <c r="G14" s="43">
        <v>5</v>
      </c>
    </row>
    <row r="15" spans="1:7" ht="24" customHeight="1">
      <c r="A15" s="127" t="s">
        <v>111</v>
      </c>
      <c r="B15" s="128"/>
      <c r="C15" s="128"/>
      <c r="D15" s="128"/>
      <c r="E15" s="128"/>
      <c r="F15" s="44">
        <f>SUM(F8:F14)</f>
        <v>100</v>
      </c>
      <c r="G15" s="44">
        <f>SUM(G8:G14)</f>
        <v>100</v>
      </c>
    </row>
    <row r="16" spans="1:7">
      <c r="F16" s="45"/>
      <c r="G16" s="45"/>
    </row>
    <row r="17" spans="1:7" ht="24" customHeight="1">
      <c r="A17" s="124" t="s">
        <v>112</v>
      </c>
      <c r="B17" s="124"/>
      <c r="C17" s="124"/>
      <c r="D17" s="124"/>
      <c r="E17" s="124"/>
      <c r="F17" s="124"/>
      <c r="G17" s="124"/>
    </row>
    <row r="18" spans="1:7" ht="30" customHeight="1">
      <c r="A18" s="46" t="s">
        <v>113</v>
      </c>
      <c r="B18" s="46" t="s">
        <v>114</v>
      </c>
      <c r="C18" s="129" t="s">
        <v>115</v>
      </c>
      <c r="D18" s="129"/>
      <c r="E18" s="129"/>
      <c r="F18" s="47" t="s">
        <v>116</v>
      </c>
      <c r="G18" s="47" t="s">
        <v>117</v>
      </c>
    </row>
    <row r="19" spans="1:7" ht="36" customHeight="1">
      <c r="A19" s="41" t="s">
        <v>118</v>
      </c>
      <c r="B19" s="41" t="s">
        <v>119</v>
      </c>
      <c r="C19" s="130" t="s">
        <v>120</v>
      </c>
      <c r="D19" s="130"/>
      <c r="E19" s="130"/>
      <c r="F19" s="43">
        <f>SUM(F8:F10)</f>
        <v>50</v>
      </c>
      <c r="G19" s="43">
        <v>50</v>
      </c>
    </row>
    <row r="20" spans="1:7" ht="36" customHeight="1">
      <c r="A20" s="41" t="s">
        <v>121</v>
      </c>
      <c r="B20" s="41" t="s">
        <v>122</v>
      </c>
      <c r="C20" s="130" t="s">
        <v>123</v>
      </c>
      <c r="D20" s="130"/>
      <c r="E20" s="130"/>
      <c r="F20" s="43">
        <f>SUM(F11:F14)</f>
        <v>50</v>
      </c>
      <c r="G20" s="43">
        <v>50</v>
      </c>
    </row>
    <row r="21" spans="1:7" ht="24" customHeight="1">
      <c r="A21" s="48"/>
      <c r="B21" s="49"/>
      <c r="C21" s="49"/>
      <c r="D21" s="131" t="s">
        <v>124</v>
      </c>
      <c r="E21" s="131"/>
      <c r="F21" s="132">
        <f>基础信息表!E16</f>
        <v>46212</v>
      </c>
      <c r="G21" s="132"/>
    </row>
    <row r="22" spans="1:7" ht="33" customHeight="1">
      <c r="A22" s="133" t="s">
        <v>125</v>
      </c>
      <c r="B22" s="133"/>
      <c r="C22" s="133"/>
      <c r="D22" s="133"/>
      <c r="E22" s="133"/>
      <c r="F22" s="133"/>
      <c r="G22" s="133"/>
    </row>
    <row r="23" spans="1:7" ht="28" customHeight="1">
      <c r="A23" s="111" t="s">
        <v>83</v>
      </c>
      <c r="B23" s="112"/>
      <c r="C23" s="112"/>
      <c r="D23" s="112"/>
      <c r="E23" s="112"/>
      <c r="F23" s="112"/>
      <c r="G23" s="112"/>
    </row>
    <row r="24" spans="1:7" ht="59" customHeight="1">
      <c r="A24" s="113" t="s">
        <v>84</v>
      </c>
      <c r="B24" s="114"/>
      <c r="C24" s="114"/>
      <c r="D24" s="114"/>
      <c r="E24" s="114"/>
      <c r="F24" s="114"/>
      <c r="G24" s="114"/>
    </row>
    <row r="25" spans="1:7" ht="24" customHeight="1">
      <c r="A25" s="33" t="s">
        <v>45</v>
      </c>
      <c r="B25" s="115" t="str">
        <f>基础信息表!C7</f>
        <v>成员1</v>
      </c>
      <c r="C25" s="116"/>
      <c r="D25" s="34" t="s">
        <v>46</v>
      </c>
      <c r="E25" s="117" t="str">
        <f>基础信息表!B6</f>
        <v>0901</v>
      </c>
      <c r="F25" s="116"/>
      <c r="G25" s="118"/>
    </row>
    <row r="26" spans="1:7" ht="24" customHeight="1">
      <c r="A26" s="35" t="s">
        <v>2</v>
      </c>
      <c r="B26" s="119">
        <f>基础信息表!C3</f>
        <v>0</v>
      </c>
      <c r="C26" s="120"/>
      <c r="D26" s="120"/>
      <c r="E26" s="120"/>
      <c r="F26" s="120"/>
      <c r="G26" s="121"/>
    </row>
    <row r="27" spans="1:7" ht="24" customHeight="1">
      <c r="A27" s="35" t="s">
        <v>47</v>
      </c>
      <c r="B27" s="36">
        <f>基础信息表!D7</f>
        <v>0</v>
      </c>
      <c r="C27" s="37" t="s">
        <v>87</v>
      </c>
      <c r="D27" s="38">
        <f>基础信息表!E7</f>
        <v>0</v>
      </c>
      <c r="E27" s="37" t="s">
        <v>49</v>
      </c>
      <c r="F27" s="122" t="str">
        <f>基础信息表!F6</f>
        <v>自动化2301</v>
      </c>
      <c r="G27" s="123"/>
    </row>
    <row r="28" spans="1:7" ht="24" customHeight="1">
      <c r="A28" s="124" t="s">
        <v>90</v>
      </c>
      <c r="B28" s="124"/>
      <c r="C28" s="124"/>
      <c r="D28" s="124"/>
      <c r="E28" s="124"/>
      <c r="F28" s="124"/>
      <c r="G28" s="124"/>
    </row>
    <row r="29" spans="1:7" ht="37" customHeight="1">
      <c r="A29" s="39" t="s">
        <v>91</v>
      </c>
      <c r="B29" s="40" t="s">
        <v>92</v>
      </c>
      <c r="C29" s="125" t="s">
        <v>51</v>
      </c>
      <c r="D29" s="125"/>
      <c r="E29" s="125"/>
      <c r="F29" s="40" t="s">
        <v>93</v>
      </c>
      <c r="G29" s="40" t="s">
        <v>94</v>
      </c>
    </row>
    <row r="30" spans="1:7" ht="40" customHeight="1">
      <c r="A30" s="41" t="s">
        <v>95</v>
      </c>
      <c r="B30" s="41" t="s">
        <v>96</v>
      </c>
      <c r="C30" s="126" t="s">
        <v>97</v>
      </c>
      <c r="D30" s="126"/>
      <c r="E30" s="126"/>
      <c r="F30" s="42"/>
      <c r="G30" s="43">
        <v>15</v>
      </c>
    </row>
    <row r="31" spans="1:7" ht="40" customHeight="1">
      <c r="A31" s="41" t="s">
        <v>98</v>
      </c>
      <c r="B31" s="41" t="s">
        <v>96</v>
      </c>
      <c r="C31" s="126" t="s">
        <v>99</v>
      </c>
      <c r="D31" s="126"/>
      <c r="E31" s="126"/>
      <c r="F31" s="42"/>
      <c r="G31" s="43">
        <v>20</v>
      </c>
    </row>
    <row r="32" spans="1:7" ht="40" customHeight="1">
      <c r="A32" s="41" t="s">
        <v>100</v>
      </c>
      <c r="B32" s="41" t="s">
        <v>96</v>
      </c>
      <c r="C32" s="126" t="s">
        <v>101</v>
      </c>
      <c r="D32" s="126"/>
      <c r="E32" s="126"/>
      <c r="F32" s="42"/>
      <c r="G32" s="43">
        <v>15</v>
      </c>
    </row>
    <row r="33" spans="1:7" ht="40" customHeight="1">
      <c r="A33" s="41" t="s">
        <v>102</v>
      </c>
      <c r="B33" s="41" t="s">
        <v>103</v>
      </c>
      <c r="C33" s="126" t="s">
        <v>104</v>
      </c>
      <c r="D33" s="126"/>
      <c r="E33" s="126"/>
      <c r="F33" s="42"/>
      <c r="G33" s="43">
        <v>15</v>
      </c>
    </row>
    <row r="34" spans="1:7" ht="40" customHeight="1">
      <c r="A34" s="41" t="s">
        <v>105</v>
      </c>
      <c r="B34" s="41" t="s">
        <v>103</v>
      </c>
      <c r="C34" s="126" t="s">
        <v>106</v>
      </c>
      <c r="D34" s="126"/>
      <c r="E34" s="126"/>
      <c r="F34" s="42"/>
      <c r="G34" s="43">
        <v>15</v>
      </c>
    </row>
    <row r="35" spans="1:7" ht="40" customHeight="1">
      <c r="A35" s="41" t="s">
        <v>107</v>
      </c>
      <c r="B35" s="41" t="s">
        <v>103</v>
      </c>
      <c r="C35" s="126" t="s">
        <v>108</v>
      </c>
      <c r="D35" s="126"/>
      <c r="E35" s="126"/>
      <c r="F35" s="42"/>
      <c r="G35" s="43">
        <v>15</v>
      </c>
    </row>
    <row r="36" spans="1:7" ht="40" customHeight="1">
      <c r="A36" s="41" t="s">
        <v>109</v>
      </c>
      <c r="B36" s="41" t="s">
        <v>103</v>
      </c>
      <c r="C36" s="126" t="s">
        <v>110</v>
      </c>
      <c r="D36" s="126"/>
      <c r="E36" s="126"/>
      <c r="F36" s="42"/>
      <c r="G36" s="43">
        <v>5</v>
      </c>
    </row>
    <row r="37" spans="1:7" ht="24" customHeight="1">
      <c r="A37" s="134" t="s">
        <v>111</v>
      </c>
      <c r="B37" s="135"/>
      <c r="C37" s="135"/>
      <c r="D37" s="135"/>
      <c r="E37" s="135"/>
      <c r="F37" s="50">
        <f>SUM(F30:F36)</f>
        <v>0</v>
      </c>
      <c r="G37" s="50">
        <f>SUM(G30:G36)</f>
        <v>100</v>
      </c>
    </row>
    <row r="38" spans="1:7">
      <c r="F38" s="45"/>
      <c r="G38" s="45"/>
    </row>
    <row r="39" spans="1:7" ht="24" customHeight="1">
      <c r="A39" s="124" t="s">
        <v>112</v>
      </c>
      <c r="B39" s="124"/>
      <c r="C39" s="124"/>
      <c r="D39" s="124"/>
      <c r="E39" s="124"/>
      <c r="F39" s="124"/>
      <c r="G39" s="124"/>
    </row>
    <row r="40" spans="1:7" ht="30" customHeight="1">
      <c r="A40" s="46" t="s">
        <v>113</v>
      </c>
      <c r="B40" s="46" t="s">
        <v>114</v>
      </c>
      <c r="C40" s="129" t="s">
        <v>115</v>
      </c>
      <c r="D40" s="129"/>
      <c r="E40" s="129"/>
      <c r="F40" s="47" t="s">
        <v>116</v>
      </c>
      <c r="G40" s="47" t="s">
        <v>117</v>
      </c>
    </row>
    <row r="41" spans="1:7" ht="36" customHeight="1">
      <c r="A41" s="41" t="s">
        <v>118</v>
      </c>
      <c r="B41" s="41" t="s">
        <v>119</v>
      </c>
      <c r="C41" s="130" t="s">
        <v>120</v>
      </c>
      <c r="D41" s="130"/>
      <c r="E41" s="130"/>
      <c r="F41" s="43">
        <f>SUM(F30:F32)</f>
        <v>0</v>
      </c>
      <c r="G41" s="43">
        <v>50</v>
      </c>
    </row>
    <row r="42" spans="1:7" ht="36" customHeight="1">
      <c r="A42" s="41" t="s">
        <v>121</v>
      </c>
      <c r="B42" s="41" t="s">
        <v>122</v>
      </c>
      <c r="C42" s="130" t="s">
        <v>123</v>
      </c>
      <c r="D42" s="130"/>
      <c r="E42" s="130"/>
      <c r="F42" s="43">
        <f>SUM(F33:F36)</f>
        <v>0</v>
      </c>
      <c r="G42" s="43">
        <v>50</v>
      </c>
    </row>
    <row r="43" spans="1:7" ht="24" customHeight="1">
      <c r="A43" s="51"/>
      <c r="B43" s="52"/>
      <c r="C43" s="53"/>
      <c r="D43" s="136" t="s">
        <v>124</v>
      </c>
      <c r="E43" s="136"/>
      <c r="F43" s="132">
        <f>基础信息表!E16</f>
        <v>46212</v>
      </c>
      <c r="G43" s="132"/>
    </row>
    <row r="44" spans="1:7" ht="33" customHeight="1">
      <c r="A44" s="133" t="s">
        <v>125</v>
      </c>
      <c r="B44" s="133"/>
      <c r="C44" s="133"/>
      <c r="D44" s="133"/>
      <c r="E44" s="133"/>
      <c r="F44" s="133"/>
      <c r="G44" s="133"/>
    </row>
    <row r="45" spans="1:7" ht="28" customHeight="1">
      <c r="A45" s="111" t="s">
        <v>83</v>
      </c>
      <c r="B45" s="112"/>
      <c r="C45" s="112"/>
      <c r="D45" s="112"/>
      <c r="E45" s="112"/>
      <c r="F45" s="112"/>
      <c r="G45" s="112"/>
    </row>
    <row r="46" spans="1:7" ht="59" customHeight="1">
      <c r="A46" s="113" t="s">
        <v>126</v>
      </c>
      <c r="B46" s="114"/>
      <c r="C46" s="114"/>
      <c r="D46" s="114"/>
      <c r="E46" s="114"/>
      <c r="F46" s="114"/>
      <c r="G46" s="114"/>
    </row>
    <row r="47" spans="1:7" ht="24" customHeight="1">
      <c r="A47" s="33" t="s">
        <v>45</v>
      </c>
      <c r="B47" s="115" t="str">
        <f>基础信息表!C8</f>
        <v>成员2</v>
      </c>
      <c r="C47" s="116"/>
      <c r="D47" s="34" t="s">
        <v>46</v>
      </c>
      <c r="E47" s="117" t="str">
        <f>基础信息表!B6</f>
        <v>0901</v>
      </c>
      <c r="F47" s="116"/>
      <c r="G47" s="118"/>
    </row>
    <row r="48" spans="1:7" ht="24" customHeight="1">
      <c r="A48" s="35" t="s">
        <v>2</v>
      </c>
      <c r="B48" s="119">
        <f>基础信息表!C3</f>
        <v>0</v>
      </c>
      <c r="C48" s="120"/>
      <c r="D48" s="120"/>
      <c r="E48" s="120"/>
      <c r="F48" s="120"/>
      <c r="G48" s="121"/>
    </row>
    <row r="49" spans="1:7" ht="24" customHeight="1">
      <c r="A49" s="35" t="s">
        <v>47</v>
      </c>
      <c r="B49" s="36">
        <f>基础信息表!D8</f>
        <v>0</v>
      </c>
      <c r="C49" s="37" t="s">
        <v>87</v>
      </c>
      <c r="D49" s="38">
        <f>基础信息表!E8</f>
        <v>0</v>
      </c>
      <c r="E49" s="37" t="s">
        <v>49</v>
      </c>
      <c r="F49" s="122" t="str">
        <f>基础信息表!F8</f>
        <v>自动化2301</v>
      </c>
      <c r="G49" s="123"/>
    </row>
    <row r="50" spans="1:7" ht="24" customHeight="1">
      <c r="A50" s="124" t="s">
        <v>90</v>
      </c>
      <c r="B50" s="124"/>
      <c r="C50" s="124"/>
      <c r="D50" s="124"/>
      <c r="E50" s="124"/>
      <c r="F50" s="124"/>
      <c r="G50" s="124"/>
    </row>
    <row r="51" spans="1:7" ht="37" customHeight="1">
      <c r="A51" s="54" t="s">
        <v>91</v>
      </c>
      <c r="B51" s="55" t="s">
        <v>92</v>
      </c>
      <c r="C51" s="137" t="s">
        <v>51</v>
      </c>
      <c r="D51" s="137"/>
      <c r="E51" s="137"/>
      <c r="F51" s="55" t="s">
        <v>93</v>
      </c>
      <c r="G51" s="55" t="s">
        <v>94</v>
      </c>
    </row>
    <row r="52" spans="1:7" ht="40" customHeight="1">
      <c r="A52" s="56" t="s">
        <v>95</v>
      </c>
      <c r="B52" s="56" t="s">
        <v>96</v>
      </c>
      <c r="C52" s="138" t="s">
        <v>97</v>
      </c>
      <c r="D52" s="138"/>
      <c r="E52" s="138"/>
      <c r="F52" s="57"/>
      <c r="G52" s="58">
        <v>15</v>
      </c>
    </row>
    <row r="53" spans="1:7" ht="40" customHeight="1">
      <c r="A53" s="56" t="s">
        <v>98</v>
      </c>
      <c r="B53" s="56" t="s">
        <v>96</v>
      </c>
      <c r="C53" s="138" t="s">
        <v>99</v>
      </c>
      <c r="D53" s="138"/>
      <c r="E53" s="138"/>
      <c r="F53" s="57"/>
      <c r="G53" s="58">
        <v>20</v>
      </c>
    </row>
    <row r="54" spans="1:7" ht="40" customHeight="1">
      <c r="A54" s="56" t="s">
        <v>100</v>
      </c>
      <c r="B54" s="56" t="s">
        <v>96</v>
      </c>
      <c r="C54" s="138" t="s">
        <v>101</v>
      </c>
      <c r="D54" s="138"/>
      <c r="E54" s="138"/>
      <c r="F54" s="57"/>
      <c r="G54" s="58">
        <v>15</v>
      </c>
    </row>
    <row r="55" spans="1:7" ht="40" customHeight="1">
      <c r="A55" s="56" t="s">
        <v>102</v>
      </c>
      <c r="B55" s="56" t="s">
        <v>103</v>
      </c>
      <c r="C55" s="138" t="s">
        <v>104</v>
      </c>
      <c r="D55" s="138"/>
      <c r="E55" s="138"/>
      <c r="F55" s="57"/>
      <c r="G55" s="58">
        <v>15</v>
      </c>
    </row>
    <row r="56" spans="1:7" ht="40" customHeight="1">
      <c r="A56" s="56" t="s">
        <v>105</v>
      </c>
      <c r="B56" s="56" t="s">
        <v>103</v>
      </c>
      <c r="C56" s="138" t="s">
        <v>106</v>
      </c>
      <c r="D56" s="138"/>
      <c r="E56" s="138"/>
      <c r="F56" s="57"/>
      <c r="G56" s="58">
        <v>15</v>
      </c>
    </row>
    <row r="57" spans="1:7" ht="40" customHeight="1">
      <c r="A57" s="56" t="s">
        <v>107</v>
      </c>
      <c r="B57" s="56" t="s">
        <v>103</v>
      </c>
      <c r="C57" s="138" t="s">
        <v>108</v>
      </c>
      <c r="D57" s="138"/>
      <c r="E57" s="138"/>
      <c r="F57" s="57"/>
      <c r="G57" s="58">
        <v>15</v>
      </c>
    </row>
    <row r="58" spans="1:7" ht="40" customHeight="1">
      <c r="A58" s="56" t="s">
        <v>109</v>
      </c>
      <c r="B58" s="56" t="s">
        <v>103</v>
      </c>
      <c r="C58" s="138" t="s">
        <v>110</v>
      </c>
      <c r="D58" s="138"/>
      <c r="E58" s="138"/>
      <c r="F58" s="57"/>
      <c r="G58" s="58">
        <v>5</v>
      </c>
    </row>
    <row r="59" spans="1:7" ht="24" customHeight="1">
      <c r="A59" s="134" t="s">
        <v>111</v>
      </c>
      <c r="B59" s="135"/>
      <c r="C59" s="135"/>
      <c r="D59" s="135"/>
      <c r="E59" s="135"/>
      <c r="F59" s="50">
        <f>SUM(F52:F58)</f>
        <v>0</v>
      </c>
      <c r="G59" s="50">
        <f>SUM(G52:G58)</f>
        <v>100</v>
      </c>
    </row>
    <row r="60" spans="1:7">
      <c r="F60" s="45"/>
      <c r="G60" s="45"/>
    </row>
    <row r="61" spans="1:7" ht="24" customHeight="1">
      <c r="A61" s="124" t="s">
        <v>112</v>
      </c>
      <c r="B61" s="124"/>
      <c r="C61" s="124"/>
      <c r="D61" s="124"/>
      <c r="E61" s="124"/>
      <c r="F61" s="124"/>
      <c r="G61" s="124"/>
    </row>
    <row r="62" spans="1:7" ht="30" customHeight="1">
      <c r="A62" s="46" t="s">
        <v>113</v>
      </c>
      <c r="B62" s="46" t="s">
        <v>114</v>
      </c>
      <c r="C62" s="129" t="s">
        <v>115</v>
      </c>
      <c r="D62" s="129"/>
      <c r="E62" s="129"/>
      <c r="F62" s="47" t="s">
        <v>116</v>
      </c>
      <c r="G62" s="47" t="s">
        <v>117</v>
      </c>
    </row>
    <row r="63" spans="1:7" ht="36" customHeight="1">
      <c r="A63" s="41" t="s">
        <v>118</v>
      </c>
      <c r="B63" s="41" t="s">
        <v>119</v>
      </c>
      <c r="C63" s="130" t="s">
        <v>120</v>
      </c>
      <c r="D63" s="130"/>
      <c r="E63" s="130"/>
      <c r="F63" s="43">
        <f>SUM(F52:F54)</f>
        <v>0</v>
      </c>
      <c r="G63" s="43">
        <v>50</v>
      </c>
    </row>
    <row r="64" spans="1:7" ht="36" customHeight="1">
      <c r="A64" s="41" t="s">
        <v>121</v>
      </c>
      <c r="B64" s="41" t="s">
        <v>122</v>
      </c>
      <c r="C64" s="130" t="s">
        <v>123</v>
      </c>
      <c r="D64" s="130"/>
      <c r="E64" s="130"/>
      <c r="F64" s="43">
        <f>SUM(F55:F58)</f>
        <v>0</v>
      </c>
      <c r="G64" s="43">
        <v>50</v>
      </c>
    </row>
    <row r="65" spans="1:7" ht="24" customHeight="1">
      <c r="A65" s="33"/>
      <c r="B65" s="52"/>
      <c r="C65" s="53"/>
      <c r="D65" s="136" t="s">
        <v>124</v>
      </c>
      <c r="E65" s="136"/>
      <c r="F65" s="132">
        <f>基础信息表!E16</f>
        <v>46212</v>
      </c>
      <c r="G65" s="132"/>
    </row>
    <row r="66" spans="1:7" ht="33" customHeight="1">
      <c r="A66" s="133" t="s">
        <v>125</v>
      </c>
      <c r="B66" s="133"/>
      <c r="C66" s="133"/>
      <c r="D66" s="133"/>
      <c r="E66" s="133"/>
      <c r="F66" s="133"/>
      <c r="G66" s="133"/>
    </row>
    <row r="67" spans="1:7" ht="28" customHeight="1">
      <c r="A67" s="111" t="s">
        <v>127</v>
      </c>
      <c r="B67" s="112"/>
      <c r="C67" s="112"/>
      <c r="D67" s="112"/>
      <c r="E67" s="112"/>
      <c r="F67" s="112"/>
      <c r="G67" s="112"/>
    </row>
    <row r="68" spans="1:7" ht="53" customHeight="1">
      <c r="A68" s="113" t="s">
        <v>126</v>
      </c>
      <c r="B68" s="114"/>
      <c r="C68" s="114"/>
      <c r="D68" s="114"/>
      <c r="E68" s="114"/>
      <c r="F68" s="114"/>
      <c r="G68" s="114"/>
    </row>
    <row r="69" spans="1:7" ht="24" customHeight="1">
      <c r="A69" s="35" t="s">
        <v>2</v>
      </c>
      <c r="B69" s="277" t="s">
        <v>168</v>
      </c>
      <c r="C69" s="140"/>
      <c r="D69" s="140"/>
      <c r="E69" s="38" t="s">
        <v>46</v>
      </c>
      <c r="F69" s="141" t="s">
        <v>85</v>
      </c>
      <c r="G69" s="123"/>
    </row>
    <row r="70" spans="1:7" ht="24" customHeight="1">
      <c r="A70" s="151" t="s">
        <v>128</v>
      </c>
      <c r="B70" s="59" t="s">
        <v>4</v>
      </c>
      <c r="C70" s="60" t="s">
        <v>5</v>
      </c>
      <c r="D70" s="142" t="s">
        <v>6</v>
      </c>
      <c r="E70" s="142"/>
      <c r="F70" s="142" t="s">
        <v>7</v>
      </c>
      <c r="G70" s="143"/>
    </row>
    <row r="71" spans="1:7" ht="24" customHeight="1">
      <c r="A71" s="152"/>
      <c r="B71" s="59" t="str">
        <f>基础信息表!C6</f>
        <v>负责人</v>
      </c>
      <c r="C71" s="273" t="s">
        <v>166</v>
      </c>
      <c r="D71" s="144" t="s">
        <v>88</v>
      </c>
      <c r="E71" s="142" t="str">
        <f>基础信息表!F6</f>
        <v>自动化2301</v>
      </c>
      <c r="F71" s="142" t="s">
        <v>89</v>
      </c>
      <c r="G71" s="143"/>
    </row>
    <row r="72" spans="1:7" ht="24" customHeight="1">
      <c r="A72" s="61" t="s">
        <v>129</v>
      </c>
      <c r="B72" s="59" t="str">
        <f>基础信息表!C7</f>
        <v>成员1</v>
      </c>
      <c r="C72" s="60" t="s">
        <v>130</v>
      </c>
      <c r="D72" s="144" t="s">
        <v>131</v>
      </c>
      <c r="E72" s="142"/>
      <c r="F72" s="142" t="s">
        <v>89</v>
      </c>
      <c r="G72" s="143"/>
    </row>
    <row r="73" spans="1:7" ht="24" customHeight="1">
      <c r="A73" s="124" t="s">
        <v>132</v>
      </c>
      <c r="B73" s="124"/>
      <c r="C73" s="124"/>
      <c r="D73" s="124"/>
      <c r="E73" s="124"/>
      <c r="F73" s="124"/>
      <c r="G73" s="124"/>
    </row>
    <row r="74" spans="1:7" ht="37" customHeight="1">
      <c r="A74" s="39" t="s">
        <v>91</v>
      </c>
      <c r="B74" s="40" t="s">
        <v>92</v>
      </c>
      <c r="C74" s="125" t="s">
        <v>51</v>
      </c>
      <c r="D74" s="125"/>
      <c r="E74" s="125"/>
      <c r="F74" s="40" t="s">
        <v>93</v>
      </c>
      <c r="G74" s="40" t="s">
        <v>94</v>
      </c>
    </row>
    <row r="75" spans="1:7" ht="40" customHeight="1">
      <c r="A75" s="41" t="s">
        <v>95</v>
      </c>
      <c r="B75" s="41" t="s">
        <v>96</v>
      </c>
      <c r="C75" s="126" t="s">
        <v>97</v>
      </c>
      <c r="D75" s="126"/>
      <c r="E75" s="126"/>
      <c r="F75" s="42">
        <v>15</v>
      </c>
      <c r="G75" s="43">
        <v>15</v>
      </c>
    </row>
    <row r="76" spans="1:7" ht="40" customHeight="1">
      <c r="A76" s="41" t="s">
        <v>98</v>
      </c>
      <c r="B76" s="41" t="s">
        <v>96</v>
      </c>
      <c r="C76" s="126" t="s">
        <v>99</v>
      </c>
      <c r="D76" s="126"/>
      <c r="E76" s="126"/>
      <c r="F76" s="42">
        <v>20</v>
      </c>
      <c r="G76" s="43">
        <v>20</v>
      </c>
    </row>
    <row r="77" spans="1:7" ht="40" customHeight="1">
      <c r="A77" s="41" t="s">
        <v>100</v>
      </c>
      <c r="B77" s="41" t="s">
        <v>96</v>
      </c>
      <c r="C77" s="126" t="s">
        <v>101</v>
      </c>
      <c r="D77" s="126"/>
      <c r="E77" s="126"/>
      <c r="F77" s="42">
        <v>15</v>
      </c>
      <c r="G77" s="43">
        <v>15</v>
      </c>
    </row>
    <row r="78" spans="1:7" ht="40" customHeight="1">
      <c r="A78" s="41" t="s">
        <v>102</v>
      </c>
      <c r="B78" s="41" t="s">
        <v>103</v>
      </c>
      <c r="C78" s="126" t="s">
        <v>104</v>
      </c>
      <c r="D78" s="126"/>
      <c r="E78" s="126"/>
      <c r="F78" s="42">
        <v>15</v>
      </c>
      <c r="G78" s="43">
        <v>15</v>
      </c>
    </row>
    <row r="79" spans="1:7" ht="40" customHeight="1">
      <c r="A79" s="41" t="s">
        <v>105</v>
      </c>
      <c r="B79" s="41" t="s">
        <v>103</v>
      </c>
      <c r="C79" s="126" t="s">
        <v>106</v>
      </c>
      <c r="D79" s="126"/>
      <c r="E79" s="126"/>
      <c r="F79" s="42">
        <v>15</v>
      </c>
      <c r="G79" s="43">
        <v>15</v>
      </c>
    </row>
    <row r="80" spans="1:7" ht="40" customHeight="1">
      <c r="A80" s="41" t="s">
        <v>107</v>
      </c>
      <c r="B80" s="41" t="s">
        <v>103</v>
      </c>
      <c r="C80" s="126" t="s">
        <v>108</v>
      </c>
      <c r="D80" s="126"/>
      <c r="E80" s="126"/>
      <c r="F80" s="42">
        <v>15</v>
      </c>
      <c r="G80" s="43">
        <v>15</v>
      </c>
    </row>
    <row r="81" spans="1:7" ht="40" customHeight="1">
      <c r="A81" s="41" t="s">
        <v>109</v>
      </c>
      <c r="B81" s="41" t="s">
        <v>103</v>
      </c>
      <c r="C81" s="126" t="s">
        <v>110</v>
      </c>
      <c r="D81" s="126"/>
      <c r="E81" s="126"/>
      <c r="F81" s="42">
        <v>5</v>
      </c>
      <c r="G81" s="43">
        <v>5</v>
      </c>
    </row>
    <row r="82" spans="1:7" ht="24" customHeight="1">
      <c r="A82" s="145" t="s">
        <v>111</v>
      </c>
      <c r="B82" s="146"/>
      <c r="C82" s="146"/>
      <c r="D82" s="146"/>
      <c r="E82" s="147"/>
      <c r="F82" s="44">
        <f>SUM(F75:F81)</f>
        <v>100</v>
      </c>
      <c r="G82" s="44">
        <f>SUM(G75:G81)</f>
        <v>100</v>
      </c>
    </row>
    <row r="83" spans="1:7" ht="24" customHeight="1">
      <c r="A83" s="124" t="s">
        <v>133</v>
      </c>
      <c r="B83" s="124"/>
      <c r="C83" s="124"/>
      <c r="D83" s="124"/>
      <c r="E83" s="124"/>
      <c r="F83" s="124"/>
      <c r="G83" s="124"/>
    </row>
    <row r="84" spans="1:7" ht="30" customHeight="1">
      <c r="A84" s="46" t="s">
        <v>113</v>
      </c>
      <c r="B84" s="46" t="s">
        <v>114</v>
      </c>
      <c r="C84" s="129" t="s">
        <v>115</v>
      </c>
      <c r="D84" s="129"/>
      <c r="E84" s="129"/>
      <c r="F84" s="47" t="s">
        <v>116</v>
      </c>
      <c r="G84" s="47" t="s">
        <v>117</v>
      </c>
    </row>
    <row r="85" spans="1:7" ht="36" customHeight="1">
      <c r="A85" s="41" t="s">
        <v>118</v>
      </c>
      <c r="B85" s="41" t="s">
        <v>119</v>
      </c>
      <c r="C85" s="130" t="s">
        <v>120</v>
      </c>
      <c r="D85" s="130"/>
      <c r="E85" s="130"/>
      <c r="F85" s="43">
        <f>SUM(F75:F77)</f>
        <v>50</v>
      </c>
      <c r="G85" s="43">
        <v>50</v>
      </c>
    </row>
    <row r="86" spans="1:7" ht="36" customHeight="1">
      <c r="A86" s="41" t="s">
        <v>121</v>
      </c>
      <c r="B86" s="41" t="s">
        <v>122</v>
      </c>
      <c r="C86" s="130" t="s">
        <v>123</v>
      </c>
      <c r="D86" s="130"/>
      <c r="E86" s="130"/>
      <c r="F86" s="43">
        <f>SUM(F78:F81)</f>
        <v>50</v>
      </c>
      <c r="G86" s="43">
        <v>50</v>
      </c>
    </row>
    <row r="87" spans="1:7" ht="24" customHeight="1">
      <c r="A87" s="33"/>
      <c r="B87" s="52"/>
      <c r="C87" s="53"/>
      <c r="D87" s="136" t="s">
        <v>134</v>
      </c>
      <c r="E87" s="136"/>
      <c r="F87" s="132">
        <f>基础信息表!E16</f>
        <v>46212</v>
      </c>
      <c r="G87" s="132"/>
    </row>
    <row r="88" spans="1:7" ht="33" customHeight="1">
      <c r="A88" s="133" t="s">
        <v>135</v>
      </c>
      <c r="B88" s="133"/>
      <c r="C88" s="133"/>
      <c r="D88" s="133"/>
      <c r="E88" s="133"/>
      <c r="F88" s="133"/>
      <c r="G88" s="133"/>
    </row>
    <row r="89" spans="1:7" ht="28" customHeight="1">
      <c r="A89" s="111" t="s">
        <v>127</v>
      </c>
      <c r="B89" s="112"/>
      <c r="C89" s="112"/>
      <c r="D89" s="112"/>
      <c r="E89" s="112"/>
      <c r="F89" s="112"/>
      <c r="G89" s="112"/>
    </row>
    <row r="90" spans="1:7" ht="53" customHeight="1">
      <c r="A90" s="113" t="s">
        <v>126</v>
      </c>
      <c r="B90" s="114"/>
      <c r="C90" s="114"/>
      <c r="D90" s="114"/>
      <c r="E90" s="114"/>
      <c r="F90" s="114"/>
      <c r="G90" s="114"/>
    </row>
    <row r="91" spans="1:7" ht="24" customHeight="1">
      <c r="A91" s="35" t="s">
        <v>2</v>
      </c>
      <c r="B91" s="274" t="s">
        <v>167</v>
      </c>
      <c r="C91" s="275"/>
      <c r="D91" s="276"/>
      <c r="E91" s="38" t="s">
        <v>46</v>
      </c>
      <c r="F91" s="141" t="s">
        <v>85</v>
      </c>
      <c r="G91" s="123"/>
    </row>
    <row r="92" spans="1:7" ht="24" customHeight="1">
      <c r="A92" s="151" t="s">
        <v>128</v>
      </c>
      <c r="B92" s="59" t="s">
        <v>4</v>
      </c>
      <c r="C92" s="60" t="s">
        <v>5</v>
      </c>
      <c r="D92" s="142" t="s">
        <v>6</v>
      </c>
      <c r="E92" s="142"/>
      <c r="F92" s="142" t="s">
        <v>7</v>
      </c>
      <c r="G92" s="143"/>
    </row>
    <row r="93" spans="1:7" ht="24" customHeight="1">
      <c r="A93" s="152"/>
      <c r="B93" s="59" t="str">
        <f>基础信息表!C6</f>
        <v>负责人</v>
      </c>
      <c r="C93" s="273" t="s">
        <v>166</v>
      </c>
      <c r="D93" s="144" t="s">
        <v>88</v>
      </c>
      <c r="E93" s="142">
        <f>基础信息表!F19</f>
        <v>0</v>
      </c>
      <c r="F93" s="142" t="s">
        <v>89</v>
      </c>
      <c r="G93" s="143"/>
    </row>
    <row r="94" spans="1:7" ht="24" customHeight="1">
      <c r="A94" s="61" t="s">
        <v>129</v>
      </c>
      <c r="B94" s="59" t="str">
        <f>基础信息表!C8</f>
        <v>成员2</v>
      </c>
      <c r="C94" s="60" t="s">
        <v>136</v>
      </c>
      <c r="D94" s="144" t="s">
        <v>137</v>
      </c>
      <c r="E94" s="142"/>
      <c r="F94" s="142" t="s">
        <v>89</v>
      </c>
      <c r="G94" s="143"/>
    </row>
    <row r="95" spans="1:7" ht="24" customHeight="1">
      <c r="A95" s="124" t="s">
        <v>132</v>
      </c>
      <c r="B95" s="124"/>
      <c r="C95" s="124"/>
      <c r="D95" s="124"/>
      <c r="E95" s="124"/>
      <c r="F95" s="124"/>
      <c r="G95" s="124"/>
    </row>
    <row r="96" spans="1:7" ht="37" customHeight="1">
      <c r="A96" s="39" t="s">
        <v>91</v>
      </c>
      <c r="B96" s="40" t="s">
        <v>92</v>
      </c>
      <c r="C96" s="125" t="s">
        <v>51</v>
      </c>
      <c r="D96" s="125"/>
      <c r="E96" s="125"/>
      <c r="F96" s="40" t="s">
        <v>93</v>
      </c>
      <c r="G96" s="40" t="s">
        <v>94</v>
      </c>
    </row>
    <row r="97" spans="1:7" ht="40" customHeight="1">
      <c r="A97" s="41" t="s">
        <v>95</v>
      </c>
      <c r="B97" s="41" t="s">
        <v>96</v>
      </c>
      <c r="C97" s="126" t="s">
        <v>97</v>
      </c>
      <c r="D97" s="126"/>
      <c r="E97" s="126"/>
      <c r="F97" s="42">
        <v>15</v>
      </c>
      <c r="G97" s="43">
        <v>15</v>
      </c>
    </row>
    <row r="98" spans="1:7" ht="40" customHeight="1">
      <c r="A98" s="41" t="s">
        <v>98</v>
      </c>
      <c r="B98" s="41" t="s">
        <v>96</v>
      </c>
      <c r="C98" s="126" t="s">
        <v>99</v>
      </c>
      <c r="D98" s="126"/>
      <c r="E98" s="126"/>
      <c r="F98" s="42">
        <v>20</v>
      </c>
      <c r="G98" s="43">
        <v>20</v>
      </c>
    </row>
    <row r="99" spans="1:7" ht="40" customHeight="1">
      <c r="A99" s="41" t="s">
        <v>100</v>
      </c>
      <c r="B99" s="41" t="s">
        <v>96</v>
      </c>
      <c r="C99" s="126" t="s">
        <v>101</v>
      </c>
      <c r="D99" s="126"/>
      <c r="E99" s="126"/>
      <c r="F99" s="42">
        <v>15</v>
      </c>
      <c r="G99" s="43">
        <v>15</v>
      </c>
    </row>
    <row r="100" spans="1:7" ht="40" customHeight="1">
      <c r="A100" s="41" t="s">
        <v>102</v>
      </c>
      <c r="B100" s="41" t="s">
        <v>103</v>
      </c>
      <c r="C100" s="126" t="s">
        <v>104</v>
      </c>
      <c r="D100" s="126"/>
      <c r="E100" s="126"/>
      <c r="F100" s="42">
        <v>15</v>
      </c>
      <c r="G100" s="43">
        <v>15</v>
      </c>
    </row>
    <row r="101" spans="1:7" ht="40" customHeight="1">
      <c r="A101" s="41" t="s">
        <v>105</v>
      </c>
      <c r="B101" s="41" t="s">
        <v>103</v>
      </c>
      <c r="C101" s="126" t="s">
        <v>106</v>
      </c>
      <c r="D101" s="126"/>
      <c r="E101" s="126"/>
      <c r="F101" s="42">
        <v>15</v>
      </c>
      <c r="G101" s="43">
        <v>15</v>
      </c>
    </row>
    <row r="102" spans="1:7" ht="40" customHeight="1">
      <c r="A102" s="41" t="s">
        <v>107</v>
      </c>
      <c r="B102" s="41" t="s">
        <v>103</v>
      </c>
      <c r="C102" s="126" t="s">
        <v>108</v>
      </c>
      <c r="D102" s="126"/>
      <c r="E102" s="126"/>
      <c r="F102" s="42">
        <v>15</v>
      </c>
      <c r="G102" s="43">
        <v>15</v>
      </c>
    </row>
    <row r="103" spans="1:7" ht="40" customHeight="1">
      <c r="A103" s="41" t="s">
        <v>109</v>
      </c>
      <c r="B103" s="41" t="s">
        <v>103</v>
      </c>
      <c r="C103" s="126" t="s">
        <v>110</v>
      </c>
      <c r="D103" s="126"/>
      <c r="E103" s="126"/>
      <c r="F103" s="42">
        <v>5</v>
      </c>
      <c r="G103" s="43">
        <v>5</v>
      </c>
    </row>
    <row r="104" spans="1:7" ht="24" customHeight="1">
      <c r="A104" s="145" t="s">
        <v>111</v>
      </c>
      <c r="B104" s="146"/>
      <c r="C104" s="146"/>
      <c r="D104" s="146"/>
      <c r="E104" s="147"/>
      <c r="F104" s="44">
        <f>SUM(F97:F103)</f>
        <v>100</v>
      </c>
      <c r="G104" s="44">
        <f>SUM(G97:G103)</f>
        <v>100</v>
      </c>
    </row>
    <row r="105" spans="1:7" ht="24" customHeight="1">
      <c r="A105" s="124" t="s">
        <v>133</v>
      </c>
      <c r="B105" s="124"/>
      <c r="C105" s="124"/>
      <c r="D105" s="124"/>
      <c r="E105" s="124"/>
      <c r="F105" s="124"/>
      <c r="G105" s="124"/>
    </row>
    <row r="106" spans="1:7" ht="30" customHeight="1">
      <c r="A106" s="46" t="s">
        <v>113</v>
      </c>
      <c r="B106" s="46" t="s">
        <v>114</v>
      </c>
      <c r="C106" s="129" t="s">
        <v>115</v>
      </c>
      <c r="D106" s="129"/>
      <c r="E106" s="129"/>
      <c r="F106" s="47" t="s">
        <v>116</v>
      </c>
      <c r="G106" s="47" t="s">
        <v>117</v>
      </c>
    </row>
    <row r="107" spans="1:7" ht="36" customHeight="1">
      <c r="A107" s="41" t="s">
        <v>118</v>
      </c>
      <c r="B107" s="41" t="s">
        <v>119</v>
      </c>
      <c r="C107" s="130" t="s">
        <v>120</v>
      </c>
      <c r="D107" s="130"/>
      <c r="E107" s="130"/>
      <c r="F107" s="43">
        <f>SUM(F97:F99)</f>
        <v>50</v>
      </c>
      <c r="G107" s="43">
        <v>50</v>
      </c>
    </row>
    <row r="108" spans="1:7" ht="36" customHeight="1">
      <c r="A108" s="41" t="s">
        <v>121</v>
      </c>
      <c r="B108" s="41" t="s">
        <v>122</v>
      </c>
      <c r="C108" s="130" t="s">
        <v>123</v>
      </c>
      <c r="D108" s="130"/>
      <c r="E108" s="130"/>
      <c r="F108" s="43">
        <f>SUM(F100:F103)</f>
        <v>50</v>
      </c>
      <c r="G108" s="43">
        <v>50</v>
      </c>
    </row>
    <row r="109" spans="1:7" ht="24" customHeight="1">
      <c r="A109" s="51"/>
      <c r="B109" s="52"/>
      <c r="C109" s="53"/>
      <c r="D109" s="136" t="s">
        <v>134</v>
      </c>
      <c r="E109" s="136"/>
      <c r="F109" s="132">
        <f>基础信息表!E16</f>
        <v>46212</v>
      </c>
      <c r="G109" s="132"/>
    </row>
    <row r="110" spans="1:7" ht="33" customHeight="1">
      <c r="A110" s="133" t="s">
        <v>135</v>
      </c>
      <c r="B110" s="133"/>
      <c r="C110" s="133"/>
      <c r="D110" s="133"/>
      <c r="E110" s="133"/>
      <c r="F110" s="133"/>
      <c r="G110" s="133"/>
    </row>
    <row r="111" spans="1:7" ht="28" customHeight="1">
      <c r="A111" s="111" t="s">
        <v>127</v>
      </c>
      <c r="B111" s="112"/>
      <c r="C111" s="112"/>
      <c r="D111" s="112"/>
      <c r="E111" s="112"/>
      <c r="F111" s="112"/>
      <c r="G111" s="112"/>
    </row>
    <row r="112" spans="1:7" ht="53" customHeight="1">
      <c r="A112" s="113" t="s">
        <v>126</v>
      </c>
      <c r="B112" s="114"/>
      <c r="C112" s="114"/>
      <c r="D112" s="114"/>
      <c r="E112" s="114"/>
      <c r="F112" s="114"/>
      <c r="G112" s="114"/>
    </row>
    <row r="113" spans="1:7" ht="24" customHeight="1">
      <c r="A113" s="35" t="s">
        <v>2</v>
      </c>
      <c r="B113" s="139">
        <f>基础信息表!C3</f>
        <v>0</v>
      </c>
      <c r="C113" s="140"/>
      <c r="D113" s="140"/>
      <c r="E113" s="38" t="s">
        <v>46</v>
      </c>
      <c r="F113" s="141" t="str">
        <f>基础信息表!B6</f>
        <v>0901</v>
      </c>
      <c r="G113" s="123"/>
    </row>
    <row r="114" spans="1:7" ht="24" customHeight="1">
      <c r="A114" s="151" t="s">
        <v>128</v>
      </c>
      <c r="B114" s="59" t="s">
        <v>4</v>
      </c>
      <c r="C114" s="60" t="s">
        <v>5</v>
      </c>
      <c r="D114" s="142" t="s">
        <v>6</v>
      </c>
      <c r="E114" s="142"/>
      <c r="F114" s="142" t="s">
        <v>7</v>
      </c>
      <c r="G114" s="143"/>
    </row>
    <row r="115" spans="1:7" ht="24" customHeight="1">
      <c r="A115" s="152"/>
      <c r="B115" s="59" t="str">
        <f>基础信息表!C7</f>
        <v>成员1</v>
      </c>
      <c r="C115" s="60">
        <f>基础信息表!D7</f>
        <v>0</v>
      </c>
      <c r="D115" s="142">
        <f>基础信息表!E6</f>
        <v>0</v>
      </c>
      <c r="E115" s="142">
        <f>基础信息表!F43</f>
        <v>0</v>
      </c>
      <c r="F115" s="142" t="str">
        <f>基础信息表!F6</f>
        <v>自动化2301</v>
      </c>
      <c r="G115" s="143"/>
    </row>
    <row r="116" spans="1:7" ht="24" customHeight="1">
      <c r="A116" s="61" t="s">
        <v>129</v>
      </c>
      <c r="B116" s="59" t="str">
        <f>基础信息表!C6</f>
        <v>负责人</v>
      </c>
      <c r="C116" s="60">
        <f>基础信息表!D6</f>
        <v>0</v>
      </c>
      <c r="D116" s="142">
        <f>基础信息表!E6</f>
        <v>0</v>
      </c>
      <c r="E116" s="142"/>
      <c r="F116" s="142" t="str">
        <f>基础信息表!F6</f>
        <v>自动化2301</v>
      </c>
      <c r="G116" s="143"/>
    </row>
    <row r="117" spans="1:7" ht="24" customHeight="1">
      <c r="A117" s="124" t="s">
        <v>138</v>
      </c>
      <c r="B117" s="124"/>
      <c r="C117" s="124"/>
      <c r="D117" s="124"/>
      <c r="E117" s="124"/>
      <c r="F117" s="124"/>
      <c r="G117" s="124"/>
    </row>
    <row r="118" spans="1:7" ht="37" customHeight="1">
      <c r="A118" s="54" t="s">
        <v>91</v>
      </c>
      <c r="B118" s="55" t="s">
        <v>92</v>
      </c>
      <c r="C118" s="137" t="s">
        <v>51</v>
      </c>
      <c r="D118" s="137"/>
      <c r="E118" s="137"/>
      <c r="F118" s="55" t="s">
        <v>93</v>
      </c>
      <c r="G118" s="55" t="s">
        <v>94</v>
      </c>
    </row>
    <row r="119" spans="1:7" ht="40" customHeight="1">
      <c r="A119" s="56" t="s">
        <v>95</v>
      </c>
      <c r="B119" s="56" t="s">
        <v>96</v>
      </c>
      <c r="C119" s="138" t="s">
        <v>97</v>
      </c>
      <c r="D119" s="138"/>
      <c r="E119" s="138"/>
      <c r="F119" s="57">
        <v>15</v>
      </c>
      <c r="G119" s="58">
        <v>15</v>
      </c>
    </row>
    <row r="120" spans="1:7" ht="40" customHeight="1">
      <c r="A120" s="56" t="s">
        <v>98</v>
      </c>
      <c r="B120" s="56" t="s">
        <v>96</v>
      </c>
      <c r="C120" s="138" t="s">
        <v>99</v>
      </c>
      <c r="D120" s="138"/>
      <c r="E120" s="138"/>
      <c r="F120" s="57">
        <v>20</v>
      </c>
      <c r="G120" s="58">
        <v>20</v>
      </c>
    </row>
    <row r="121" spans="1:7" ht="40" customHeight="1">
      <c r="A121" s="56" t="s">
        <v>100</v>
      </c>
      <c r="B121" s="56" t="s">
        <v>96</v>
      </c>
      <c r="C121" s="138" t="s">
        <v>101</v>
      </c>
      <c r="D121" s="138"/>
      <c r="E121" s="138"/>
      <c r="F121" s="57">
        <v>15</v>
      </c>
      <c r="G121" s="58">
        <v>15</v>
      </c>
    </row>
    <row r="122" spans="1:7" ht="40" customHeight="1">
      <c r="A122" s="56" t="s">
        <v>102</v>
      </c>
      <c r="B122" s="56" t="s">
        <v>103</v>
      </c>
      <c r="C122" s="138" t="s">
        <v>104</v>
      </c>
      <c r="D122" s="138"/>
      <c r="E122" s="138"/>
      <c r="F122" s="57">
        <v>15</v>
      </c>
      <c r="G122" s="58">
        <v>15</v>
      </c>
    </row>
    <row r="123" spans="1:7" ht="40" customHeight="1">
      <c r="A123" s="56" t="s">
        <v>105</v>
      </c>
      <c r="B123" s="56" t="s">
        <v>103</v>
      </c>
      <c r="C123" s="138" t="s">
        <v>106</v>
      </c>
      <c r="D123" s="138"/>
      <c r="E123" s="138"/>
      <c r="F123" s="57">
        <v>15</v>
      </c>
      <c r="G123" s="58">
        <v>15</v>
      </c>
    </row>
    <row r="124" spans="1:7" ht="40" customHeight="1">
      <c r="A124" s="56" t="s">
        <v>107</v>
      </c>
      <c r="B124" s="56" t="s">
        <v>103</v>
      </c>
      <c r="C124" s="138" t="s">
        <v>108</v>
      </c>
      <c r="D124" s="138"/>
      <c r="E124" s="138"/>
      <c r="F124" s="57">
        <v>15</v>
      </c>
      <c r="G124" s="58">
        <v>15</v>
      </c>
    </row>
    <row r="125" spans="1:7" ht="40" customHeight="1">
      <c r="A125" s="56" t="s">
        <v>109</v>
      </c>
      <c r="B125" s="56" t="s">
        <v>103</v>
      </c>
      <c r="C125" s="138" t="s">
        <v>110</v>
      </c>
      <c r="D125" s="138"/>
      <c r="E125" s="138"/>
      <c r="F125" s="57">
        <v>5</v>
      </c>
      <c r="G125" s="58">
        <v>5</v>
      </c>
    </row>
    <row r="126" spans="1:7" ht="24" customHeight="1">
      <c r="A126" s="134" t="s">
        <v>111</v>
      </c>
      <c r="B126" s="135"/>
      <c r="C126" s="135"/>
      <c r="D126" s="135"/>
      <c r="E126" s="135"/>
      <c r="F126" s="50">
        <f>SUM(F119:F125)</f>
        <v>100</v>
      </c>
      <c r="G126" s="50">
        <f>SUM(G119:G125)</f>
        <v>100</v>
      </c>
    </row>
    <row r="127" spans="1:7" ht="24" customHeight="1">
      <c r="A127" s="124" t="s">
        <v>133</v>
      </c>
      <c r="B127" s="124"/>
      <c r="C127" s="124"/>
      <c r="D127" s="124"/>
      <c r="E127" s="124"/>
      <c r="F127" s="124"/>
      <c r="G127" s="124"/>
    </row>
    <row r="128" spans="1:7" ht="30" customHeight="1">
      <c r="A128" s="46" t="s">
        <v>113</v>
      </c>
      <c r="B128" s="46" t="s">
        <v>114</v>
      </c>
      <c r="C128" s="129" t="s">
        <v>115</v>
      </c>
      <c r="D128" s="129"/>
      <c r="E128" s="129"/>
      <c r="F128" s="47" t="s">
        <v>116</v>
      </c>
      <c r="G128" s="47" t="s">
        <v>117</v>
      </c>
    </row>
    <row r="129" spans="1:7" ht="36" customHeight="1">
      <c r="A129" s="41" t="s">
        <v>118</v>
      </c>
      <c r="B129" s="41" t="s">
        <v>119</v>
      </c>
      <c r="C129" s="130" t="s">
        <v>120</v>
      </c>
      <c r="D129" s="130"/>
      <c r="E129" s="130"/>
      <c r="F129" s="43">
        <f>SUM(F119:F121)</f>
        <v>50</v>
      </c>
      <c r="G129" s="43">
        <v>50</v>
      </c>
    </row>
    <row r="130" spans="1:7" ht="36" customHeight="1">
      <c r="A130" s="41" t="s">
        <v>121</v>
      </c>
      <c r="B130" s="41" t="s">
        <v>122</v>
      </c>
      <c r="C130" s="130" t="s">
        <v>123</v>
      </c>
      <c r="D130" s="130"/>
      <c r="E130" s="130"/>
      <c r="F130" s="43">
        <f>SUM(F122:F125)</f>
        <v>50</v>
      </c>
      <c r="G130" s="43">
        <v>50</v>
      </c>
    </row>
    <row r="131" spans="1:7" ht="24" customHeight="1">
      <c r="A131" s="33"/>
      <c r="B131" s="52"/>
      <c r="C131" s="53"/>
      <c r="D131" s="136" t="s">
        <v>134</v>
      </c>
      <c r="E131" s="136"/>
      <c r="F131" s="132">
        <f>基础信息表!E16</f>
        <v>46212</v>
      </c>
      <c r="G131" s="132"/>
    </row>
    <row r="132" spans="1:7" ht="33" customHeight="1">
      <c r="A132" s="133" t="s">
        <v>135</v>
      </c>
      <c r="B132" s="133"/>
      <c r="C132" s="133"/>
      <c r="D132" s="133"/>
      <c r="E132" s="133"/>
      <c r="F132" s="133"/>
      <c r="G132" s="133"/>
    </row>
    <row r="133" spans="1:7" ht="28" customHeight="1">
      <c r="A133" s="111" t="s">
        <v>127</v>
      </c>
      <c r="B133" s="112"/>
      <c r="C133" s="112"/>
      <c r="D133" s="112"/>
      <c r="E133" s="112"/>
      <c r="F133" s="112"/>
      <c r="G133" s="112"/>
    </row>
    <row r="134" spans="1:7" ht="53" customHeight="1">
      <c r="A134" s="113" t="s">
        <v>126</v>
      </c>
      <c r="B134" s="114"/>
      <c r="C134" s="114"/>
      <c r="D134" s="114"/>
      <c r="E134" s="114"/>
      <c r="F134" s="114"/>
      <c r="G134" s="114"/>
    </row>
    <row r="135" spans="1:7" ht="24" customHeight="1">
      <c r="A135" s="35" t="s">
        <v>2</v>
      </c>
      <c r="B135" s="139">
        <f>基础信息表!C3</f>
        <v>0</v>
      </c>
      <c r="C135" s="140"/>
      <c r="D135" s="140"/>
      <c r="E135" s="38" t="s">
        <v>46</v>
      </c>
      <c r="F135" s="141" t="str">
        <f>基础信息表!B6</f>
        <v>0901</v>
      </c>
      <c r="G135" s="123"/>
    </row>
    <row r="136" spans="1:7" ht="24" customHeight="1">
      <c r="A136" s="151" t="s">
        <v>128</v>
      </c>
      <c r="B136" s="59" t="s">
        <v>4</v>
      </c>
      <c r="C136" s="60" t="s">
        <v>5</v>
      </c>
      <c r="D136" s="142" t="s">
        <v>6</v>
      </c>
      <c r="E136" s="142"/>
      <c r="F136" s="142" t="s">
        <v>7</v>
      </c>
      <c r="G136" s="143"/>
    </row>
    <row r="137" spans="1:7" ht="24" customHeight="1">
      <c r="A137" s="152"/>
      <c r="B137" s="59" t="str">
        <f>基础信息表!C8</f>
        <v>成员2</v>
      </c>
      <c r="C137" s="60">
        <f>基础信息表!D8</f>
        <v>0</v>
      </c>
      <c r="D137" s="142">
        <f>基础信息表!E8</f>
        <v>0</v>
      </c>
      <c r="E137" s="142">
        <f>基础信息表!F65</f>
        <v>0</v>
      </c>
      <c r="F137" s="142" t="str">
        <f>基础信息表!F8</f>
        <v>自动化2301</v>
      </c>
      <c r="G137" s="143"/>
    </row>
    <row r="138" spans="1:7" ht="24" customHeight="1">
      <c r="A138" s="61" t="s">
        <v>129</v>
      </c>
      <c r="B138" s="59" t="str">
        <f>基础信息表!C6</f>
        <v>负责人</v>
      </c>
      <c r="C138" s="60">
        <f>基础信息表!D6</f>
        <v>0</v>
      </c>
      <c r="D138" s="142">
        <f>基础信息表!E6</f>
        <v>0</v>
      </c>
      <c r="E138" s="142"/>
      <c r="F138" s="142" t="str">
        <f>基础信息表!F6</f>
        <v>自动化2301</v>
      </c>
      <c r="G138" s="143"/>
    </row>
    <row r="139" spans="1:7" ht="24" customHeight="1">
      <c r="A139" s="124" t="s">
        <v>138</v>
      </c>
      <c r="B139" s="124"/>
      <c r="C139" s="124"/>
      <c r="D139" s="124"/>
      <c r="E139" s="124"/>
      <c r="F139" s="124"/>
      <c r="G139" s="124"/>
    </row>
    <row r="140" spans="1:7" ht="37" customHeight="1">
      <c r="A140" s="39" t="s">
        <v>91</v>
      </c>
      <c r="B140" s="40" t="s">
        <v>92</v>
      </c>
      <c r="C140" s="125" t="s">
        <v>51</v>
      </c>
      <c r="D140" s="125"/>
      <c r="E140" s="125"/>
      <c r="F140" s="40" t="s">
        <v>93</v>
      </c>
      <c r="G140" s="40" t="s">
        <v>94</v>
      </c>
    </row>
    <row r="141" spans="1:7" ht="40" customHeight="1">
      <c r="A141" s="41" t="s">
        <v>95</v>
      </c>
      <c r="B141" s="41" t="s">
        <v>96</v>
      </c>
      <c r="C141" s="126" t="s">
        <v>97</v>
      </c>
      <c r="D141" s="126"/>
      <c r="E141" s="126"/>
      <c r="F141" s="42">
        <v>15</v>
      </c>
      <c r="G141" s="43">
        <v>15</v>
      </c>
    </row>
    <row r="142" spans="1:7" ht="40" customHeight="1">
      <c r="A142" s="41" t="s">
        <v>98</v>
      </c>
      <c r="B142" s="41" t="s">
        <v>96</v>
      </c>
      <c r="C142" s="126" t="s">
        <v>99</v>
      </c>
      <c r="D142" s="126"/>
      <c r="E142" s="126"/>
      <c r="F142" s="42">
        <v>20</v>
      </c>
      <c r="G142" s="43">
        <v>20</v>
      </c>
    </row>
    <row r="143" spans="1:7" ht="40" customHeight="1">
      <c r="A143" s="41" t="s">
        <v>100</v>
      </c>
      <c r="B143" s="41" t="s">
        <v>96</v>
      </c>
      <c r="C143" s="126" t="s">
        <v>101</v>
      </c>
      <c r="D143" s="126"/>
      <c r="E143" s="126"/>
      <c r="F143" s="42">
        <v>15</v>
      </c>
      <c r="G143" s="43">
        <v>15</v>
      </c>
    </row>
    <row r="144" spans="1:7" ht="40" customHeight="1">
      <c r="A144" s="41" t="s">
        <v>102</v>
      </c>
      <c r="B144" s="41" t="s">
        <v>103</v>
      </c>
      <c r="C144" s="126" t="s">
        <v>104</v>
      </c>
      <c r="D144" s="126"/>
      <c r="E144" s="126"/>
      <c r="F144" s="42">
        <v>15</v>
      </c>
      <c r="G144" s="43">
        <v>15</v>
      </c>
    </row>
    <row r="145" spans="1:7" ht="40" customHeight="1">
      <c r="A145" s="41" t="s">
        <v>105</v>
      </c>
      <c r="B145" s="41" t="s">
        <v>103</v>
      </c>
      <c r="C145" s="126" t="s">
        <v>106</v>
      </c>
      <c r="D145" s="126"/>
      <c r="E145" s="126"/>
      <c r="F145" s="42">
        <v>15</v>
      </c>
      <c r="G145" s="43">
        <v>15</v>
      </c>
    </row>
    <row r="146" spans="1:7" ht="40" customHeight="1">
      <c r="A146" s="41" t="s">
        <v>107</v>
      </c>
      <c r="B146" s="41" t="s">
        <v>103</v>
      </c>
      <c r="C146" s="126" t="s">
        <v>108</v>
      </c>
      <c r="D146" s="126"/>
      <c r="E146" s="126"/>
      <c r="F146" s="42">
        <v>15</v>
      </c>
      <c r="G146" s="43">
        <v>15</v>
      </c>
    </row>
    <row r="147" spans="1:7" ht="40" customHeight="1">
      <c r="A147" s="41" t="s">
        <v>109</v>
      </c>
      <c r="B147" s="41" t="s">
        <v>103</v>
      </c>
      <c r="C147" s="126" t="s">
        <v>110</v>
      </c>
      <c r="D147" s="126"/>
      <c r="E147" s="126"/>
      <c r="F147" s="42">
        <v>5</v>
      </c>
      <c r="G147" s="43">
        <v>5</v>
      </c>
    </row>
    <row r="148" spans="1:7" ht="24" customHeight="1">
      <c r="A148" s="148" t="s">
        <v>139</v>
      </c>
      <c r="B148" s="149"/>
      <c r="C148" s="149"/>
      <c r="D148" s="149"/>
      <c r="E148" s="150"/>
      <c r="F148" s="44">
        <f>SUM(F141:F147)</f>
        <v>100</v>
      </c>
      <c r="G148" s="44">
        <f>SUM(G141:G147)</f>
        <v>100</v>
      </c>
    </row>
    <row r="149" spans="1:7" ht="24" customHeight="1">
      <c r="A149" s="124" t="s">
        <v>133</v>
      </c>
      <c r="B149" s="124"/>
      <c r="C149" s="124"/>
      <c r="D149" s="124"/>
      <c r="E149" s="124"/>
      <c r="F149" s="124"/>
      <c r="G149" s="124"/>
    </row>
    <row r="150" spans="1:7" ht="30" customHeight="1">
      <c r="A150" s="46" t="s">
        <v>113</v>
      </c>
      <c r="B150" s="46" t="s">
        <v>114</v>
      </c>
      <c r="C150" s="129" t="s">
        <v>115</v>
      </c>
      <c r="D150" s="129"/>
      <c r="E150" s="129"/>
      <c r="F150" s="47" t="s">
        <v>116</v>
      </c>
      <c r="G150" s="47" t="s">
        <v>117</v>
      </c>
    </row>
    <row r="151" spans="1:7" ht="36" customHeight="1">
      <c r="A151" s="41" t="s">
        <v>118</v>
      </c>
      <c r="B151" s="41" t="s">
        <v>119</v>
      </c>
      <c r="C151" s="130" t="s">
        <v>120</v>
      </c>
      <c r="D151" s="130"/>
      <c r="E151" s="130"/>
      <c r="F151" s="43">
        <f>SUM(F141:F143)</f>
        <v>50</v>
      </c>
      <c r="G151" s="43">
        <v>50</v>
      </c>
    </row>
    <row r="152" spans="1:7" ht="36" customHeight="1">
      <c r="A152" s="41" t="s">
        <v>121</v>
      </c>
      <c r="B152" s="41" t="s">
        <v>122</v>
      </c>
      <c r="C152" s="130" t="s">
        <v>123</v>
      </c>
      <c r="D152" s="130"/>
      <c r="E152" s="130"/>
      <c r="F152" s="43">
        <f>SUM(F144:F147)</f>
        <v>50</v>
      </c>
      <c r="G152" s="43">
        <v>50</v>
      </c>
    </row>
    <row r="153" spans="1:7" ht="24" customHeight="1">
      <c r="A153" s="51"/>
      <c r="B153" s="52"/>
      <c r="C153" s="53"/>
      <c r="D153" s="136" t="s">
        <v>134</v>
      </c>
      <c r="E153" s="136"/>
      <c r="F153" s="132">
        <f>基础信息表!E16</f>
        <v>46212</v>
      </c>
      <c r="G153" s="132"/>
    </row>
    <row r="154" spans="1:7" ht="33" customHeight="1">
      <c r="A154" s="133" t="s">
        <v>135</v>
      </c>
      <c r="B154" s="133"/>
      <c r="C154" s="133"/>
      <c r="D154" s="133"/>
      <c r="E154" s="133"/>
      <c r="F154" s="133"/>
      <c r="G154" s="133"/>
    </row>
  </sheetData>
  <mergeCells count="181">
    <mergeCell ref="C151:E151"/>
    <mergeCell ref="C152:E152"/>
    <mergeCell ref="D153:E153"/>
    <mergeCell ref="F153:G153"/>
    <mergeCell ref="A154:G154"/>
    <mergeCell ref="A70:A71"/>
    <mergeCell ref="A92:A93"/>
    <mergeCell ref="A114:A115"/>
    <mergeCell ref="A136:A137"/>
    <mergeCell ref="C142:E142"/>
    <mergeCell ref="C143:E143"/>
    <mergeCell ref="C144:E144"/>
    <mergeCell ref="C145:E145"/>
    <mergeCell ref="C146:E146"/>
    <mergeCell ref="C147:E147"/>
    <mergeCell ref="A148:E148"/>
    <mergeCell ref="A149:G149"/>
    <mergeCell ref="C150:E150"/>
    <mergeCell ref="D136:E136"/>
    <mergeCell ref="F136:G136"/>
    <mergeCell ref="D137:E137"/>
    <mergeCell ref="F137:G137"/>
    <mergeCell ref="D138:E138"/>
    <mergeCell ref="F138:G138"/>
    <mergeCell ref="A139:G139"/>
    <mergeCell ref="C140:E140"/>
    <mergeCell ref="C141:E141"/>
    <mergeCell ref="C129:E129"/>
    <mergeCell ref="C130:E130"/>
    <mergeCell ref="D131:E131"/>
    <mergeCell ref="F131:G131"/>
    <mergeCell ref="A132:G132"/>
    <mergeCell ref="A133:G133"/>
    <mergeCell ref="A134:G134"/>
    <mergeCell ref="B135:D135"/>
    <mergeCell ref="F135:G135"/>
    <mergeCell ref="C120:E120"/>
    <mergeCell ref="C121:E121"/>
    <mergeCell ref="C122:E122"/>
    <mergeCell ref="C123:E123"/>
    <mergeCell ref="C124:E124"/>
    <mergeCell ref="C125:E125"/>
    <mergeCell ref="A126:E126"/>
    <mergeCell ref="A127:G127"/>
    <mergeCell ref="C128:E128"/>
    <mergeCell ref="D114:E114"/>
    <mergeCell ref="F114:G114"/>
    <mergeCell ref="D115:E115"/>
    <mergeCell ref="F115:G115"/>
    <mergeCell ref="D116:E116"/>
    <mergeCell ref="F116:G116"/>
    <mergeCell ref="A117:G117"/>
    <mergeCell ref="C118:E118"/>
    <mergeCell ref="C119:E119"/>
    <mergeCell ref="C107:E107"/>
    <mergeCell ref="C108:E108"/>
    <mergeCell ref="D109:E109"/>
    <mergeCell ref="F109:G109"/>
    <mergeCell ref="A110:G110"/>
    <mergeCell ref="A111:G111"/>
    <mergeCell ref="A112:G112"/>
    <mergeCell ref="B113:D113"/>
    <mergeCell ref="F113:G113"/>
    <mergeCell ref="C98:E98"/>
    <mergeCell ref="C99:E99"/>
    <mergeCell ref="C100:E100"/>
    <mergeCell ref="C101:E101"/>
    <mergeCell ref="C102:E102"/>
    <mergeCell ref="C103:E103"/>
    <mergeCell ref="A104:E104"/>
    <mergeCell ref="A105:G105"/>
    <mergeCell ref="C106:E106"/>
    <mergeCell ref="D92:E92"/>
    <mergeCell ref="F92:G92"/>
    <mergeCell ref="D93:E93"/>
    <mergeCell ref="F93:G93"/>
    <mergeCell ref="D94:E94"/>
    <mergeCell ref="F94:G94"/>
    <mergeCell ref="A95:G95"/>
    <mergeCell ref="C96:E96"/>
    <mergeCell ref="C97:E97"/>
    <mergeCell ref="C85:E85"/>
    <mergeCell ref="C86:E86"/>
    <mergeCell ref="D87:E87"/>
    <mergeCell ref="F87:G87"/>
    <mergeCell ref="A88:G88"/>
    <mergeCell ref="A89:G89"/>
    <mergeCell ref="A90:G90"/>
    <mergeCell ref="B91:D91"/>
    <mergeCell ref="F91:G91"/>
    <mergeCell ref="C76:E76"/>
    <mergeCell ref="C77:E77"/>
    <mergeCell ref="C78:E78"/>
    <mergeCell ref="C79:E79"/>
    <mergeCell ref="C80:E80"/>
    <mergeCell ref="C81:E81"/>
    <mergeCell ref="A82:E82"/>
    <mergeCell ref="A83:G83"/>
    <mergeCell ref="C84:E84"/>
    <mergeCell ref="D70:E70"/>
    <mergeCell ref="F70:G70"/>
    <mergeCell ref="D71:E71"/>
    <mergeCell ref="F71:G71"/>
    <mergeCell ref="D72:E72"/>
    <mergeCell ref="F72:G72"/>
    <mergeCell ref="A73:G73"/>
    <mergeCell ref="C74:E74"/>
    <mergeCell ref="C75:E75"/>
    <mergeCell ref="C62:E62"/>
    <mergeCell ref="C63:E63"/>
    <mergeCell ref="C64:E64"/>
    <mergeCell ref="D65:E65"/>
    <mergeCell ref="F65:G65"/>
    <mergeCell ref="A66:G66"/>
    <mergeCell ref="A67:G67"/>
    <mergeCell ref="A68:G68"/>
    <mergeCell ref="B69:D69"/>
    <mergeCell ref="F69:G69"/>
    <mergeCell ref="C52:E52"/>
    <mergeCell ref="C53:E53"/>
    <mergeCell ref="C54:E54"/>
    <mergeCell ref="C55:E55"/>
    <mergeCell ref="C56:E56"/>
    <mergeCell ref="C57:E57"/>
    <mergeCell ref="C58:E58"/>
    <mergeCell ref="A59:E59"/>
    <mergeCell ref="A61:G61"/>
    <mergeCell ref="A44:G44"/>
    <mergeCell ref="A45:G45"/>
    <mergeCell ref="A46:G46"/>
    <mergeCell ref="B47:C47"/>
    <mergeCell ref="E47:G47"/>
    <mergeCell ref="B48:G48"/>
    <mergeCell ref="F49:G49"/>
    <mergeCell ref="A50:G50"/>
    <mergeCell ref="C51:E51"/>
    <mergeCell ref="C35:E35"/>
    <mergeCell ref="C36:E36"/>
    <mergeCell ref="A37:E37"/>
    <mergeCell ref="A39:G39"/>
    <mergeCell ref="C40:E40"/>
    <mergeCell ref="C41:E41"/>
    <mergeCell ref="C42:E42"/>
    <mergeCell ref="D43:E43"/>
    <mergeCell ref="F43:G43"/>
    <mergeCell ref="B26:G26"/>
    <mergeCell ref="F27:G27"/>
    <mergeCell ref="A28:G28"/>
    <mergeCell ref="C29:E29"/>
    <mergeCell ref="C30:E30"/>
    <mergeCell ref="C31:E31"/>
    <mergeCell ref="C32:E32"/>
    <mergeCell ref="C33:E33"/>
    <mergeCell ref="C34:E34"/>
    <mergeCell ref="C19:E19"/>
    <mergeCell ref="C20:E20"/>
    <mergeCell ref="D21:E21"/>
    <mergeCell ref="F21:G21"/>
    <mergeCell ref="A22:G22"/>
    <mergeCell ref="A23:G23"/>
    <mergeCell ref="A24:G24"/>
    <mergeCell ref="B25:C25"/>
    <mergeCell ref="E25:G25"/>
    <mergeCell ref="C9:E9"/>
    <mergeCell ref="C10:E10"/>
    <mergeCell ref="C11:E11"/>
    <mergeCell ref="C12:E12"/>
    <mergeCell ref="C13:E13"/>
    <mergeCell ref="C14:E14"/>
    <mergeCell ref="A15:E15"/>
    <mergeCell ref="A17:G17"/>
    <mergeCell ref="C18:E18"/>
    <mergeCell ref="A1:G1"/>
    <mergeCell ref="A2:G2"/>
    <mergeCell ref="B3:C3"/>
    <mergeCell ref="E3:G3"/>
    <mergeCell ref="B4:G4"/>
    <mergeCell ref="F5:G5"/>
    <mergeCell ref="A6:G6"/>
    <mergeCell ref="C7:E7"/>
    <mergeCell ref="C8:E8"/>
  </mergeCells>
  <phoneticPr fontId="45" type="noConversion"/>
  <dataValidations count="2">
    <dataValidation type="whole" errorStyle="warning" allowBlank="1" showErrorMessage="1" errorTitle="得分超出范围" error="请输入0至该项分值之间的整数。" sqref="F8:F14 F30:F36 F52:F58 F75:F76 F97:F98 F119:F120 F141:F142" xr:uid="{00000000-0002-0000-0300-000000000000}">
      <formula1>0</formula1>
      <formula2>G8:G14</formula2>
    </dataValidation>
    <dataValidation type="whole" errorStyle="warning" allowBlank="1" showErrorMessage="1" errorTitle="得分超出范围" error="请输入0至该项分值之间的整数。" sqref="F77:F81 F99:F103 F121:F125 F143:F147" xr:uid="{00000000-0002-0000-0300-000001000000}">
      <formula1>0</formula1>
      <formula2>G77:G82</formula2>
    </dataValidation>
  </dataValidations>
  <pageMargins left="0.70069444444444495" right="0.70069444444444495" top="0.75138888888888899" bottom="0.75138888888888899" header="0.29861111111111099" footer="0.29861111111111099"/>
  <pageSetup paperSize="9" orientation="portrait" r:id="rId1"/>
  <headerFooter>
    <oddHeader>&amp;C&amp;"方正公文小标宋"&amp;K01+050团队合作自评/互评表</oddHeader>
    <oddFooter>&amp;C&amp;"方正公文小标宋"第 &amp;P 页，共 &amp;N 页</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8"/>
  <sheetViews>
    <sheetView view="pageBreakPreview" topLeftCell="A15" zoomScale="130" zoomScaleNormal="100" workbookViewId="0">
      <selection activeCell="O68" sqref="O68"/>
    </sheetView>
  </sheetViews>
  <sheetFormatPr defaultColWidth="9" defaultRowHeight="14"/>
  <cols>
    <col min="1" max="1" width="6.36328125" style="14" customWidth="1"/>
    <col min="2" max="2" width="12.1796875" style="14" customWidth="1"/>
    <col min="3" max="3" width="10.08984375" style="14" customWidth="1"/>
    <col min="4" max="4" width="9.453125" style="14" customWidth="1"/>
    <col min="5" max="5" width="10.08984375" style="14" customWidth="1"/>
    <col min="6" max="10" width="5.36328125" style="14" customWidth="1"/>
    <col min="11" max="11" width="12.90625" style="14" customWidth="1"/>
    <col min="12" max="16384" width="9" style="14"/>
  </cols>
  <sheetData>
    <row r="1" spans="1:11" ht="26.15" customHeight="1">
      <c r="A1" s="170" t="s">
        <v>42</v>
      </c>
      <c r="B1" s="170"/>
      <c r="C1" s="170"/>
      <c r="D1" s="170"/>
      <c r="E1" s="170"/>
      <c r="F1" s="170"/>
      <c r="G1" s="170"/>
      <c r="H1" s="170"/>
      <c r="I1" s="170"/>
      <c r="J1" s="170"/>
      <c r="K1" s="170"/>
    </row>
    <row r="2" spans="1:11" ht="26.15" customHeight="1">
      <c r="A2" s="171" t="s">
        <v>140</v>
      </c>
      <c r="B2" s="170"/>
      <c r="C2" s="170"/>
      <c r="D2" s="170"/>
      <c r="E2" s="170"/>
      <c r="F2" s="170"/>
      <c r="G2" s="170"/>
      <c r="H2" s="170"/>
      <c r="I2" s="170"/>
      <c r="J2" s="170"/>
      <c r="K2" s="170"/>
    </row>
    <row r="3" spans="1:11" ht="24" customHeight="1">
      <c r="A3" s="172"/>
      <c r="B3" s="172"/>
      <c r="C3" s="172"/>
      <c r="D3" s="172"/>
      <c r="E3" s="172"/>
      <c r="F3" s="172"/>
      <c r="G3" s="172"/>
      <c r="H3" s="172"/>
      <c r="I3" s="172"/>
      <c r="J3" s="172"/>
      <c r="K3" s="172"/>
    </row>
    <row r="4" spans="1:11" ht="25" customHeight="1">
      <c r="A4" s="174" t="s">
        <v>2</v>
      </c>
      <c r="B4" s="174"/>
      <c r="C4" s="175">
        <f>基础信息表!C3</f>
        <v>0</v>
      </c>
      <c r="D4" s="175"/>
      <c r="E4" s="175"/>
      <c r="F4" s="175"/>
      <c r="G4" s="175"/>
      <c r="H4" s="175"/>
      <c r="I4" s="175"/>
      <c r="J4" s="175"/>
      <c r="K4" s="175"/>
    </row>
    <row r="5" spans="1:11" s="12" customFormat="1" ht="22" customHeight="1">
      <c r="A5" s="174" t="s">
        <v>45</v>
      </c>
      <c r="B5" s="174"/>
      <c r="C5" s="15" t="str">
        <f>基础信息表!C6</f>
        <v>负责人</v>
      </c>
      <c r="D5" s="176" t="s">
        <v>46</v>
      </c>
      <c r="E5" s="176"/>
      <c r="F5" s="177" t="str">
        <f>基础信息表!B6</f>
        <v>0901</v>
      </c>
      <c r="G5" s="178"/>
      <c r="H5" s="178"/>
      <c r="I5" s="16"/>
      <c r="J5" s="16"/>
      <c r="K5" s="16"/>
    </row>
    <row r="6" spans="1:11" s="13" customFormat="1" ht="22" customHeight="1">
      <c r="A6" s="174" t="s">
        <v>47</v>
      </c>
      <c r="B6" s="174"/>
      <c r="C6" s="17">
        <f>基础信息表!D6</f>
        <v>0</v>
      </c>
      <c r="D6" s="179" t="s">
        <v>48</v>
      </c>
      <c r="E6" s="180"/>
      <c r="F6" s="181">
        <f>基础信息表!E6</f>
        <v>0</v>
      </c>
      <c r="G6" s="181"/>
      <c r="H6" s="181"/>
      <c r="I6" s="252" t="s">
        <v>49</v>
      </c>
      <c r="J6" s="252"/>
      <c r="K6" s="18" t="str">
        <f>基础信息表!F6</f>
        <v>自动化2301</v>
      </c>
    </row>
    <row r="7" spans="1:11" ht="8.15" customHeight="1">
      <c r="A7" s="19"/>
      <c r="B7" s="20"/>
      <c r="C7" s="19"/>
      <c r="D7" s="19"/>
      <c r="E7" s="20"/>
      <c r="F7" s="20"/>
      <c r="G7" s="20"/>
      <c r="H7" s="20"/>
      <c r="I7" s="20"/>
      <c r="J7" s="20"/>
      <c r="K7" s="20"/>
    </row>
    <row r="8" spans="1:11" ht="33" customHeight="1">
      <c r="A8" s="180" t="s">
        <v>141</v>
      </c>
      <c r="B8" s="180"/>
      <c r="C8" s="21"/>
      <c r="D8" s="21"/>
      <c r="E8" s="21"/>
      <c r="F8" s="21"/>
      <c r="G8" s="21"/>
      <c r="H8" s="21"/>
      <c r="I8" s="21"/>
      <c r="J8" s="21"/>
      <c r="K8" s="21"/>
    </row>
    <row r="9" spans="1:11" ht="24" customHeight="1">
      <c r="A9" s="253" t="s">
        <v>51</v>
      </c>
      <c r="B9" s="253"/>
      <c r="C9" s="253" t="s">
        <v>52</v>
      </c>
      <c r="D9" s="253"/>
      <c r="E9" s="253"/>
      <c r="F9" s="253"/>
      <c r="G9" s="254" t="s">
        <v>53</v>
      </c>
      <c r="H9" s="254"/>
      <c r="I9" s="254" t="s">
        <v>142</v>
      </c>
      <c r="J9" s="254"/>
      <c r="K9" s="22" t="s">
        <v>143</v>
      </c>
    </row>
    <row r="10" spans="1:11" ht="32.15" customHeight="1">
      <c r="A10" s="255" t="s">
        <v>144</v>
      </c>
      <c r="B10" s="255"/>
      <c r="C10" s="255" t="s">
        <v>145</v>
      </c>
      <c r="D10" s="255"/>
      <c r="E10" s="255"/>
      <c r="F10" s="255"/>
      <c r="G10" s="256">
        <v>0.4</v>
      </c>
      <c r="H10" s="256"/>
      <c r="I10" s="257">
        <f>过程评分表!K54</f>
        <v>3.8</v>
      </c>
      <c r="J10" s="257"/>
      <c r="K10" s="24">
        <f>G10*I10</f>
        <v>1.52</v>
      </c>
    </row>
    <row r="11" spans="1:11" ht="28" customHeight="1">
      <c r="A11" s="255" t="s">
        <v>146</v>
      </c>
      <c r="B11" s="255"/>
      <c r="C11" s="255" t="s">
        <v>147</v>
      </c>
      <c r="D11" s="255"/>
      <c r="E11" s="255"/>
      <c r="F11" s="255"/>
      <c r="G11" s="256">
        <v>0.4</v>
      </c>
      <c r="H11" s="256"/>
      <c r="I11" s="257">
        <f>'答辩评分表  '!J18</f>
        <v>3.4</v>
      </c>
      <c r="J11" s="257"/>
      <c r="K11" s="24">
        <f>G11*I11</f>
        <v>1.36</v>
      </c>
    </row>
    <row r="12" spans="1:11" ht="25" customHeight="1">
      <c r="A12" s="255" t="s">
        <v>148</v>
      </c>
      <c r="B12" s="255"/>
      <c r="C12" s="255" t="s">
        <v>149</v>
      </c>
      <c r="D12" s="255"/>
      <c r="E12" s="255"/>
      <c r="F12" s="255"/>
      <c r="G12" s="256">
        <v>0.2</v>
      </c>
      <c r="H12" s="256"/>
      <c r="I12" s="257">
        <f>('团队合作自评-互评表'!F15*40%+('团队合作自评-互评表'!F126+'团队合作自评-互评表'!F148)/2*60%)/20</f>
        <v>5</v>
      </c>
      <c r="J12" s="257"/>
      <c r="K12" s="24">
        <f>G12*I12</f>
        <v>1</v>
      </c>
    </row>
    <row r="13" spans="1:11" ht="24" customHeight="1">
      <c r="A13" s="255" t="s">
        <v>150</v>
      </c>
      <c r="B13" s="255"/>
      <c r="C13" s="255"/>
      <c r="D13" s="255"/>
      <c r="E13" s="255"/>
      <c r="F13" s="255"/>
      <c r="G13" s="258">
        <f>K10+K11+K12</f>
        <v>3.88</v>
      </c>
      <c r="H13" s="258"/>
      <c r="I13" s="258"/>
      <c r="J13" s="258"/>
      <c r="K13" s="258"/>
    </row>
    <row r="14" spans="1:11" ht="24" customHeight="1">
      <c r="A14" s="255" t="s">
        <v>151</v>
      </c>
      <c r="B14" s="255"/>
      <c r="C14" s="217"/>
      <c r="D14" s="217"/>
      <c r="E14" s="217"/>
      <c r="F14" s="217"/>
      <c r="G14" s="259" t="str">
        <f>IF(G13&gt;=4.5,"优秀",IF(G13&gt;=4,"良好",IF(G13&gt;=3.5,"中等",IF(G13&gt;=3,"及格",IF(G13&lt;3,"不及格")))))</f>
        <v>中等</v>
      </c>
      <c r="H14" s="259"/>
      <c r="I14" s="259"/>
      <c r="J14" s="259"/>
      <c r="K14" s="259"/>
    </row>
    <row r="15" spans="1:11" ht="45" customHeight="1">
      <c r="A15" s="260" t="s">
        <v>152</v>
      </c>
      <c r="B15" s="261"/>
      <c r="C15" s="261"/>
      <c r="D15" s="261"/>
      <c r="E15" s="261"/>
      <c r="F15" s="261"/>
      <c r="G15" s="261"/>
      <c r="H15" s="261"/>
      <c r="I15" s="261"/>
      <c r="J15" s="261"/>
      <c r="K15" s="262"/>
    </row>
    <row r="16" spans="1:11" ht="31" customHeight="1">
      <c r="A16" s="253" t="s">
        <v>153</v>
      </c>
      <c r="B16" s="253"/>
      <c r="C16" s="23">
        <v>1</v>
      </c>
      <c r="D16" s="23">
        <v>2</v>
      </c>
      <c r="E16" s="23">
        <v>3</v>
      </c>
      <c r="F16" s="255">
        <v>4</v>
      </c>
      <c r="G16" s="255"/>
      <c r="H16" s="187">
        <v>5</v>
      </c>
      <c r="I16" s="189"/>
      <c r="J16" s="187">
        <v>6</v>
      </c>
      <c r="K16" s="189"/>
    </row>
    <row r="17" spans="1:11" ht="24" customHeight="1">
      <c r="A17" s="253" t="s">
        <v>154</v>
      </c>
      <c r="B17" s="253"/>
      <c r="C17" s="25">
        <v>1</v>
      </c>
      <c r="D17" s="25">
        <v>2</v>
      </c>
      <c r="E17" s="25">
        <v>0.5</v>
      </c>
      <c r="F17" s="263">
        <v>0.5</v>
      </c>
      <c r="G17" s="264"/>
      <c r="H17" s="187">
        <v>0.5</v>
      </c>
      <c r="I17" s="189"/>
      <c r="J17" s="187">
        <v>0.5</v>
      </c>
      <c r="K17" s="189"/>
    </row>
    <row r="18" spans="1:11" ht="30" customHeight="1">
      <c r="A18" s="253" t="s">
        <v>116</v>
      </c>
      <c r="B18" s="253"/>
      <c r="C18" s="26">
        <f>'答辩评分表  '!J12*50%+过程评分表!K10*50%</f>
        <v>0.8</v>
      </c>
      <c r="D18" s="26">
        <f>'答辩评分表  '!J13*50%+过程评分表!K11*50%</f>
        <v>1.4</v>
      </c>
      <c r="E18" s="26">
        <f>'答辩评分表  '!J14*50%+过程评分表!K12*50%</f>
        <v>0.4</v>
      </c>
      <c r="F18" s="265">
        <f>'答辩评分表  '!J15*25%+过程评分表!K13*25%+('团队合作自评-互评表'!F19*40%+'团队合作自评-互评表'!F129*30%+'团队合作自评-互评表'!F151*30%)/50*0.5*50%</f>
        <v>0.45</v>
      </c>
      <c r="G18" s="266"/>
      <c r="H18" s="265">
        <f>'答辩评分表  '!J16*25%+过程评分表!K14*25%+('团队合作自评-互评表'!F20*40%+'团队合作自评-互评表'!F130*30%+'团队合作自评-互评表'!F152*30%)/50*0.5*50%</f>
        <v>0.47499999999999998</v>
      </c>
      <c r="I18" s="266"/>
      <c r="J18" s="265">
        <f>'答辩评分表  '!J17*50%+过程评分表!K15*50%</f>
        <v>0.35</v>
      </c>
      <c r="K18" s="266"/>
    </row>
    <row r="19" spans="1:11" ht="11.15" customHeight="1">
      <c r="A19" s="27"/>
      <c r="B19" s="27"/>
      <c r="C19" s="28"/>
      <c r="D19" s="28"/>
      <c r="E19" s="28"/>
      <c r="F19" s="28"/>
      <c r="G19" s="28"/>
      <c r="H19" s="28"/>
      <c r="I19" s="28"/>
      <c r="J19" s="28"/>
      <c r="K19" s="28"/>
    </row>
    <row r="20" spans="1:11" ht="24" customHeight="1">
      <c r="A20" s="267" t="s">
        <v>155</v>
      </c>
      <c r="B20" s="267"/>
      <c r="C20" s="28"/>
      <c r="D20" s="28"/>
      <c r="E20" s="28"/>
      <c r="F20" s="28"/>
      <c r="G20" s="28"/>
      <c r="H20" s="28"/>
      <c r="I20" s="28"/>
      <c r="J20" s="28"/>
      <c r="K20" s="28"/>
    </row>
    <row r="21" spans="1:11" ht="24" customHeight="1">
      <c r="A21" s="272" t="s">
        <v>156</v>
      </c>
      <c r="B21" s="272"/>
      <c r="C21" s="272"/>
      <c r="D21" s="272"/>
      <c r="E21" s="272"/>
      <c r="F21" s="272"/>
      <c r="G21" s="272"/>
      <c r="H21" s="272"/>
      <c r="I21" s="272"/>
      <c r="J21" s="272"/>
      <c r="K21" s="272"/>
    </row>
    <row r="22" spans="1:11" ht="24" customHeight="1">
      <c r="A22" s="272"/>
      <c r="B22" s="272"/>
      <c r="C22" s="272"/>
      <c r="D22" s="272"/>
      <c r="E22" s="272"/>
      <c r="F22" s="272"/>
      <c r="G22" s="272"/>
      <c r="H22" s="272"/>
      <c r="I22" s="272"/>
      <c r="J22" s="272"/>
      <c r="K22" s="272"/>
    </row>
    <row r="23" spans="1:11" ht="36" customHeight="1">
      <c r="A23" s="268" t="s">
        <v>157</v>
      </c>
      <c r="B23" s="268"/>
      <c r="C23" s="269" t="str">
        <f>G14</f>
        <v>中等</v>
      </c>
      <c r="D23" s="269"/>
      <c r="E23" s="28"/>
      <c r="F23" s="28"/>
      <c r="G23" s="28"/>
      <c r="H23" s="28"/>
      <c r="I23" s="28"/>
      <c r="J23" s="28"/>
      <c r="K23" s="28"/>
    </row>
    <row r="24" spans="1:11" ht="43" customHeight="1">
      <c r="A24" s="270" t="s">
        <v>158</v>
      </c>
      <c r="B24" s="270"/>
      <c r="C24" s="271" t="str">
        <f>基础信息表!C11</f>
        <v>=DISPIMG("ID_A08B1BBDD01046CB8B5D1E00D71465ED",1)</v>
      </c>
      <c r="D24" s="271"/>
      <c r="E24" s="30"/>
      <c r="F24" s="28"/>
      <c r="G24" s="28"/>
      <c r="H24" s="28"/>
      <c r="I24" s="28"/>
      <c r="J24" s="28"/>
      <c r="K24" s="31"/>
    </row>
    <row r="25" spans="1:11" ht="20" customHeight="1">
      <c r="A25" s="29"/>
      <c r="B25" s="29"/>
      <c r="C25" s="28"/>
      <c r="D25" s="28"/>
      <c r="E25" s="30"/>
      <c r="F25" s="28"/>
      <c r="G25" s="28"/>
      <c r="H25" s="28"/>
      <c r="I25" s="28"/>
      <c r="J25" s="28"/>
      <c r="K25" s="31"/>
    </row>
    <row r="26" spans="1:11" ht="24" customHeight="1">
      <c r="A26" s="27"/>
      <c r="B26" s="27"/>
      <c r="C26" s="28"/>
      <c r="D26" s="28"/>
      <c r="E26" s="28"/>
      <c r="F26" s="192">
        <f>基础信息表!F16</f>
        <v>46213</v>
      </c>
      <c r="G26" s="192"/>
      <c r="H26" s="192"/>
      <c r="I26" s="192"/>
      <c r="J26" s="192"/>
      <c r="K26" s="192"/>
    </row>
    <row r="27" spans="1:11" ht="26.15" customHeight="1">
      <c r="A27" s="170" t="s">
        <v>42</v>
      </c>
      <c r="B27" s="170"/>
      <c r="C27" s="170"/>
      <c r="D27" s="170"/>
      <c r="E27" s="170"/>
      <c r="F27" s="170"/>
      <c r="G27" s="170"/>
      <c r="H27" s="170"/>
      <c r="I27" s="170"/>
      <c r="J27" s="170"/>
      <c r="K27" s="170"/>
    </row>
    <row r="28" spans="1:11" ht="26.15" customHeight="1">
      <c r="A28" s="171" t="s">
        <v>140</v>
      </c>
      <c r="B28" s="170"/>
      <c r="C28" s="170"/>
      <c r="D28" s="170"/>
      <c r="E28" s="170"/>
      <c r="F28" s="170"/>
      <c r="G28" s="170"/>
      <c r="H28" s="170"/>
      <c r="I28" s="170"/>
      <c r="J28" s="170"/>
      <c r="K28" s="170"/>
    </row>
    <row r="29" spans="1:11" ht="24" customHeight="1">
      <c r="A29" s="172"/>
      <c r="B29" s="172"/>
      <c r="C29" s="172"/>
      <c r="D29" s="172"/>
      <c r="E29" s="172"/>
      <c r="F29" s="172"/>
      <c r="G29" s="172"/>
      <c r="H29" s="172"/>
      <c r="I29" s="172"/>
      <c r="J29" s="172"/>
      <c r="K29" s="172"/>
    </row>
    <row r="30" spans="1:11" ht="25" customHeight="1">
      <c r="A30" s="174" t="s">
        <v>2</v>
      </c>
      <c r="B30" s="174"/>
      <c r="C30" s="175">
        <f>基础信息表!C3</f>
        <v>0</v>
      </c>
      <c r="D30" s="175"/>
      <c r="E30" s="175"/>
      <c r="F30" s="175"/>
      <c r="G30" s="175"/>
      <c r="H30" s="175"/>
      <c r="I30" s="175"/>
      <c r="J30" s="175"/>
      <c r="K30" s="175"/>
    </row>
    <row r="31" spans="1:11" s="12" customFormat="1" ht="22" customHeight="1">
      <c r="A31" s="174" t="s">
        <v>45</v>
      </c>
      <c r="B31" s="174"/>
      <c r="C31" s="15" t="str">
        <f>基础信息表!C7</f>
        <v>成员1</v>
      </c>
      <c r="D31" s="176" t="s">
        <v>46</v>
      </c>
      <c r="E31" s="176"/>
      <c r="F31" s="177" t="str">
        <f>基础信息表!B6</f>
        <v>0901</v>
      </c>
      <c r="G31" s="178"/>
      <c r="H31" s="178"/>
      <c r="I31" s="16"/>
      <c r="J31" s="16"/>
      <c r="K31" s="16"/>
    </row>
    <row r="32" spans="1:11" s="13" customFormat="1" ht="22" customHeight="1">
      <c r="A32" s="174" t="s">
        <v>47</v>
      </c>
      <c r="B32" s="174"/>
      <c r="C32" s="17">
        <f>基础信息表!D7</f>
        <v>0</v>
      </c>
      <c r="D32" s="179" t="s">
        <v>48</v>
      </c>
      <c r="E32" s="180"/>
      <c r="F32" s="181">
        <f>基础信息表!E7</f>
        <v>0</v>
      </c>
      <c r="G32" s="181"/>
      <c r="H32" s="181"/>
      <c r="I32" s="252" t="s">
        <v>49</v>
      </c>
      <c r="J32" s="252"/>
      <c r="K32" s="18" t="str">
        <f>基础信息表!F7</f>
        <v>自动化2301</v>
      </c>
    </row>
    <row r="33" spans="1:11" ht="8.15" customHeight="1">
      <c r="A33" s="19"/>
      <c r="B33" s="20"/>
      <c r="C33" s="19"/>
      <c r="D33" s="19"/>
      <c r="E33" s="20"/>
      <c r="F33" s="20"/>
      <c r="G33" s="20"/>
      <c r="H33" s="20"/>
      <c r="I33" s="20"/>
      <c r="J33" s="20"/>
      <c r="K33" s="20"/>
    </row>
    <row r="34" spans="1:11" ht="33" customHeight="1">
      <c r="A34" s="180" t="s">
        <v>141</v>
      </c>
      <c r="B34" s="180"/>
      <c r="C34" s="21"/>
      <c r="D34" s="21"/>
      <c r="E34" s="21"/>
      <c r="F34" s="21"/>
      <c r="G34" s="21"/>
      <c r="H34" s="21"/>
      <c r="I34" s="21"/>
      <c r="J34" s="21"/>
      <c r="K34" s="21"/>
    </row>
    <row r="35" spans="1:11" ht="24" customHeight="1">
      <c r="A35" s="253" t="s">
        <v>51</v>
      </c>
      <c r="B35" s="253"/>
      <c r="C35" s="253" t="s">
        <v>52</v>
      </c>
      <c r="D35" s="253"/>
      <c r="E35" s="253"/>
      <c r="F35" s="253"/>
      <c r="G35" s="254" t="s">
        <v>53</v>
      </c>
      <c r="H35" s="254"/>
      <c r="I35" s="254" t="s">
        <v>142</v>
      </c>
      <c r="J35" s="254"/>
      <c r="K35" s="22" t="s">
        <v>143</v>
      </c>
    </row>
    <row r="36" spans="1:11" ht="32.15" customHeight="1">
      <c r="A36" s="255" t="s">
        <v>144</v>
      </c>
      <c r="B36" s="255"/>
      <c r="C36" s="255" t="s">
        <v>145</v>
      </c>
      <c r="D36" s="255"/>
      <c r="E36" s="255"/>
      <c r="F36" s="255"/>
      <c r="G36" s="256">
        <v>0.4</v>
      </c>
      <c r="H36" s="256"/>
      <c r="I36" s="257">
        <f>过程评分表!K35</f>
        <v>4.2</v>
      </c>
      <c r="J36" s="257"/>
      <c r="K36" s="24">
        <f t="shared" ref="K36:K38" si="0">G36*I36</f>
        <v>1.68</v>
      </c>
    </row>
    <row r="37" spans="1:11" ht="28" customHeight="1">
      <c r="A37" s="255" t="s">
        <v>146</v>
      </c>
      <c r="B37" s="255"/>
      <c r="C37" s="255" t="s">
        <v>147</v>
      </c>
      <c r="D37" s="255"/>
      <c r="E37" s="255"/>
      <c r="F37" s="255"/>
      <c r="G37" s="256">
        <v>0.4</v>
      </c>
      <c r="H37" s="256"/>
      <c r="I37" s="257">
        <f>'答辩评分表  '!J18</f>
        <v>3.4</v>
      </c>
      <c r="J37" s="257"/>
      <c r="K37" s="24">
        <f t="shared" si="0"/>
        <v>1.36</v>
      </c>
    </row>
    <row r="38" spans="1:11" ht="25" customHeight="1">
      <c r="A38" s="255" t="s">
        <v>148</v>
      </c>
      <c r="B38" s="255"/>
      <c r="C38" s="255" t="s">
        <v>149</v>
      </c>
      <c r="D38" s="255"/>
      <c r="E38" s="255"/>
      <c r="F38" s="255"/>
      <c r="G38" s="256">
        <v>0.2</v>
      </c>
      <c r="H38" s="256"/>
      <c r="I38" s="257">
        <f>('团队合作自评-互评表'!G37*40%+'团队合作自评-互评表'!G82*60%)/20</f>
        <v>5</v>
      </c>
      <c r="J38" s="257"/>
      <c r="K38" s="24">
        <f t="shared" si="0"/>
        <v>1</v>
      </c>
    </row>
    <row r="39" spans="1:11" ht="24" customHeight="1">
      <c r="A39" s="255" t="s">
        <v>150</v>
      </c>
      <c r="B39" s="255"/>
      <c r="C39" s="255"/>
      <c r="D39" s="255"/>
      <c r="E39" s="255"/>
      <c r="F39" s="255"/>
      <c r="G39" s="258">
        <f>K36+K37+K38</f>
        <v>4.04</v>
      </c>
      <c r="H39" s="258"/>
      <c r="I39" s="258"/>
      <c r="J39" s="258"/>
      <c r="K39" s="258"/>
    </row>
    <row r="40" spans="1:11" ht="24" customHeight="1">
      <c r="A40" s="255" t="s">
        <v>151</v>
      </c>
      <c r="B40" s="255"/>
      <c r="C40" s="217"/>
      <c r="D40" s="217"/>
      <c r="E40" s="217"/>
      <c r="F40" s="217"/>
      <c r="G40" s="259" t="str">
        <f>IF(G39&gt;=4.5,"优秀",IF(G39&gt;=4,"良好",IF(G39&gt;=3.5,"中等",IF(G39&gt;=3,"及格",IF(G39&lt;3,"不及格")))))</f>
        <v>良好</v>
      </c>
      <c r="H40" s="259"/>
      <c r="I40" s="259"/>
      <c r="J40" s="259"/>
      <c r="K40" s="259"/>
    </row>
    <row r="41" spans="1:11" ht="45" customHeight="1">
      <c r="A41" s="260" t="s">
        <v>152</v>
      </c>
      <c r="B41" s="261"/>
      <c r="C41" s="261"/>
      <c r="D41" s="261"/>
      <c r="E41" s="261"/>
      <c r="F41" s="261"/>
      <c r="G41" s="261"/>
      <c r="H41" s="261"/>
      <c r="I41" s="261"/>
      <c r="J41" s="261"/>
      <c r="K41" s="262"/>
    </row>
    <row r="42" spans="1:11" ht="31" customHeight="1">
      <c r="A42" s="253" t="s">
        <v>153</v>
      </c>
      <c r="B42" s="253"/>
      <c r="C42" s="23">
        <v>1</v>
      </c>
      <c r="D42" s="23">
        <v>2</v>
      </c>
      <c r="E42" s="23">
        <v>3</v>
      </c>
      <c r="F42" s="255">
        <v>4</v>
      </c>
      <c r="G42" s="255"/>
      <c r="H42" s="187">
        <v>5</v>
      </c>
      <c r="I42" s="189"/>
      <c r="J42" s="187">
        <v>6</v>
      </c>
      <c r="K42" s="189"/>
    </row>
    <row r="43" spans="1:11" ht="24" customHeight="1">
      <c r="A43" s="253" t="s">
        <v>154</v>
      </c>
      <c r="B43" s="253"/>
      <c r="C43" s="25">
        <v>1</v>
      </c>
      <c r="D43" s="25">
        <v>2</v>
      </c>
      <c r="E43" s="25">
        <v>0.5</v>
      </c>
      <c r="F43" s="263">
        <v>0.5</v>
      </c>
      <c r="G43" s="264"/>
      <c r="H43" s="187">
        <v>0.5</v>
      </c>
      <c r="I43" s="189"/>
      <c r="J43" s="187">
        <v>0.5</v>
      </c>
      <c r="K43" s="189"/>
    </row>
    <row r="44" spans="1:11" ht="30" customHeight="1">
      <c r="A44" s="253" t="s">
        <v>116</v>
      </c>
      <c r="B44" s="253"/>
      <c r="C44" s="26">
        <f>过程评分表!K29*50%+'答辩评分表  '!J12*50%</f>
        <v>0.8</v>
      </c>
      <c r="D44" s="26">
        <f>过程评分表!K30*50%+'答辩评分表  '!J13*50%</f>
        <v>1.4</v>
      </c>
      <c r="E44" s="26">
        <f>过程评分表!K31*50%+'答辩评分表  '!J14*50%</f>
        <v>0.4</v>
      </c>
      <c r="F44" s="265">
        <f>过程评分表!K32*25%+'答辩评分表  '!J15*25%+('团队合作自评-互评表'!F41*40%+'团队合作自评-互评表'!F85*60%)/50*0.5*50%</f>
        <v>0.35</v>
      </c>
      <c r="G44" s="266"/>
      <c r="H44" s="265">
        <f>过程评分表!K33*25%+'答辩评分表  '!J16*25%+('团队合作自评-互评表'!F42*40%+'团队合作自评-互评表'!F86*60%)/50*0.5*50%</f>
        <v>0.375</v>
      </c>
      <c r="I44" s="266"/>
      <c r="J44" s="265">
        <f>过程评分表!K34*50%+'答辩评分表  '!J17*50%</f>
        <v>0.35</v>
      </c>
      <c r="K44" s="266"/>
    </row>
    <row r="45" spans="1:11" ht="11.15" customHeight="1">
      <c r="A45" s="27"/>
      <c r="B45" s="27"/>
      <c r="C45" s="28"/>
      <c r="D45" s="28"/>
      <c r="E45" s="28"/>
      <c r="F45" s="28"/>
      <c r="G45" s="28"/>
      <c r="H45" s="28"/>
      <c r="I45" s="28"/>
      <c r="J45" s="28"/>
      <c r="K45" s="28"/>
    </row>
    <row r="46" spans="1:11" ht="24" customHeight="1">
      <c r="A46" s="267" t="s">
        <v>155</v>
      </c>
      <c r="B46" s="267"/>
      <c r="C46" s="28"/>
      <c r="D46" s="28"/>
      <c r="E46" s="28"/>
      <c r="F46" s="28"/>
      <c r="G46" s="28"/>
      <c r="H46" s="28"/>
      <c r="I46" s="28"/>
      <c r="J46" s="28"/>
      <c r="K46" s="28"/>
    </row>
    <row r="47" spans="1:11" ht="24" customHeight="1">
      <c r="A47" s="272" t="s">
        <v>156</v>
      </c>
      <c r="B47" s="272"/>
      <c r="C47" s="272"/>
      <c r="D47" s="272"/>
      <c r="E47" s="272"/>
      <c r="F47" s="272"/>
      <c r="G47" s="272"/>
      <c r="H47" s="272"/>
      <c r="I47" s="272"/>
      <c r="J47" s="272"/>
      <c r="K47" s="272"/>
    </row>
    <row r="48" spans="1:11" ht="24" customHeight="1">
      <c r="A48" s="272"/>
      <c r="B48" s="272"/>
      <c r="C48" s="272"/>
      <c r="D48" s="272"/>
      <c r="E48" s="272"/>
      <c r="F48" s="272"/>
      <c r="G48" s="272"/>
      <c r="H48" s="272"/>
      <c r="I48" s="272"/>
      <c r="J48" s="272"/>
      <c r="K48" s="272"/>
    </row>
    <row r="49" spans="1:11" ht="36" customHeight="1">
      <c r="A49" s="268" t="s">
        <v>157</v>
      </c>
      <c r="B49" s="268"/>
      <c r="C49" s="269" t="str">
        <f>G40</f>
        <v>良好</v>
      </c>
      <c r="D49" s="269"/>
      <c r="E49" s="28"/>
      <c r="F49" s="28"/>
      <c r="G49" s="28"/>
      <c r="H49" s="28"/>
      <c r="I49" s="28"/>
      <c r="J49" s="28"/>
      <c r="K49" s="28"/>
    </row>
    <row r="50" spans="1:11" ht="43" customHeight="1">
      <c r="A50" s="270" t="s">
        <v>158</v>
      </c>
      <c r="B50" s="270"/>
      <c r="C50" s="271" t="str">
        <f>基础信息表!C11</f>
        <v>=DISPIMG("ID_A08B1BBDD01046CB8B5D1E00D71465ED",1)</v>
      </c>
      <c r="D50" s="271"/>
      <c r="E50" s="30"/>
      <c r="F50" s="28"/>
      <c r="G50" s="28"/>
      <c r="H50" s="28"/>
      <c r="I50" s="28"/>
      <c r="J50" s="28"/>
      <c r="K50" s="31"/>
    </row>
    <row r="51" spans="1:11" ht="20" customHeight="1">
      <c r="A51" s="29"/>
      <c r="B51" s="29"/>
      <c r="C51" s="28"/>
      <c r="D51" s="28"/>
      <c r="E51" s="30"/>
      <c r="F51" s="28"/>
      <c r="G51" s="28"/>
      <c r="H51" s="28"/>
      <c r="I51" s="28"/>
      <c r="J51" s="28"/>
      <c r="K51" s="31"/>
    </row>
    <row r="52" spans="1:11" ht="24" customHeight="1">
      <c r="A52" s="27"/>
      <c r="B52" s="27"/>
      <c r="C52" s="28"/>
      <c r="D52" s="28"/>
      <c r="E52" s="28"/>
      <c r="F52" s="192">
        <f>基础信息表!F16</f>
        <v>46213</v>
      </c>
      <c r="G52" s="192"/>
      <c r="H52" s="192"/>
      <c r="I52" s="192"/>
      <c r="J52" s="192"/>
      <c r="K52" s="192"/>
    </row>
    <row r="53" spans="1:11" ht="26.15" customHeight="1">
      <c r="A53" s="170" t="s">
        <v>42</v>
      </c>
      <c r="B53" s="170"/>
      <c r="C53" s="170"/>
      <c r="D53" s="170"/>
      <c r="E53" s="170"/>
      <c r="F53" s="170"/>
      <c r="G53" s="170"/>
      <c r="H53" s="170"/>
      <c r="I53" s="170"/>
      <c r="J53" s="170"/>
      <c r="K53" s="170"/>
    </row>
    <row r="54" spans="1:11" ht="26.15" customHeight="1">
      <c r="A54" s="171" t="s">
        <v>140</v>
      </c>
      <c r="B54" s="170"/>
      <c r="C54" s="170"/>
      <c r="D54" s="170"/>
      <c r="E54" s="170"/>
      <c r="F54" s="170"/>
      <c r="G54" s="170"/>
      <c r="H54" s="170"/>
      <c r="I54" s="170"/>
      <c r="J54" s="170"/>
      <c r="K54" s="170"/>
    </row>
    <row r="55" spans="1:11" ht="24" customHeight="1">
      <c r="A55" s="172"/>
      <c r="B55" s="172"/>
      <c r="C55" s="172"/>
      <c r="D55" s="172"/>
      <c r="E55" s="172"/>
      <c r="F55" s="172"/>
      <c r="G55" s="172"/>
      <c r="H55" s="172"/>
      <c r="I55" s="172"/>
      <c r="J55" s="172"/>
      <c r="K55" s="172"/>
    </row>
    <row r="56" spans="1:11" ht="25" customHeight="1">
      <c r="A56" s="174" t="s">
        <v>2</v>
      </c>
      <c r="B56" s="174"/>
      <c r="C56" s="175">
        <f>基础信息表!C3</f>
        <v>0</v>
      </c>
      <c r="D56" s="175"/>
      <c r="E56" s="175"/>
      <c r="F56" s="175"/>
      <c r="G56" s="175"/>
      <c r="H56" s="175"/>
      <c r="I56" s="175"/>
      <c r="J56" s="175"/>
      <c r="K56" s="175"/>
    </row>
    <row r="57" spans="1:11" s="12" customFormat="1" ht="22" customHeight="1">
      <c r="A57" s="174" t="s">
        <v>45</v>
      </c>
      <c r="B57" s="174"/>
      <c r="C57" s="15" t="str">
        <f>基础信息表!C8</f>
        <v>成员2</v>
      </c>
      <c r="D57" s="176" t="s">
        <v>46</v>
      </c>
      <c r="E57" s="176"/>
      <c r="F57" s="177" t="str">
        <f>基础信息表!B6</f>
        <v>0901</v>
      </c>
      <c r="G57" s="178"/>
      <c r="H57" s="178"/>
      <c r="I57" s="16"/>
      <c r="J57" s="16"/>
      <c r="K57" s="16"/>
    </row>
    <row r="58" spans="1:11" s="13" customFormat="1" ht="22" customHeight="1">
      <c r="A58" s="174" t="s">
        <v>47</v>
      </c>
      <c r="B58" s="174"/>
      <c r="C58" s="17">
        <f>基础信息表!D8</f>
        <v>0</v>
      </c>
      <c r="D58" s="179" t="s">
        <v>48</v>
      </c>
      <c r="E58" s="180"/>
      <c r="F58" s="181">
        <f>基础信息表!E8</f>
        <v>0</v>
      </c>
      <c r="G58" s="181"/>
      <c r="H58" s="181"/>
      <c r="I58" s="252" t="s">
        <v>49</v>
      </c>
      <c r="J58" s="252"/>
      <c r="K58" s="18" t="str">
        <f>基础信息表!F8</f>
        <v>自动化2301</v>
      </c>
    </row>
    <row r="59" spans="1:11" ht="8.15" customHeight="1">
      <c r="A59" s="19"/>
      <c r="B59" s="20"/>
      <c r="C59" s="19"/>
      <c r="D59" s="19"/>
      <c r="E59" s="20"/>
      <c r="F59" s="20"/>
      <c r="G59" s="20"/>
      <c r="H59" s="20"/>
      <c r="I59" s="20"/>
      <c r="J59" s="20"/>
      <c r="K59" s="20"/>
    </row>
    <row r="60" spans="1:11" ht="33" customHeight="1">
      <c r="A60" s="180" t="s">
        <v>141</v>
      </c>
      <c r="B60" s="180"/>
      <c r="C60" s="21"/>
      <c r="D60" s="21"/>
      <c r="E60" s="21"/>
      <c r="F60" s="21"/>
      <c r="G60" s="21"/>
      <c r="H60" s="21"/>
      <c r="I60" s="21"/>
      <c r="J60" s="21"/>
      <c r="K60" s="21"/>
    </row>
    <row r="61" spans="1:11" ht="24" customHeight="1">
      <c r="A61" s="253" t="s">
        <v>51</v>
      </c>
      <c r="B61" s="253"/>
      <c r="C61" s="253" t="s">
        <v>52</v>
      </c>
      <c r="D61" s="253"/>
      <c r="E61" s="253"/>
      <c r="F61" s="253"/>
      <c r="G61" s="254" t="s">
        <v>53</v>
      </c>
      <c r="H61" s="254"/>
      <c r="I61" s="254" t="s">
        <v>142</v>
      </c>
      <c r="J61" s="254"/>
      <c r="K61" s="22" t="s">
        <v>143</v>
      </c>
    </row>
    <row r="62" spans="1:11" ht="32.15" customHeight="1">
      <c r="A62" s="255" t="s">
        <v>144</v>
      </c>
      <c r="B62" s="255"/>
      <c r="C62" s="255" t="s">
        <v>145</v>
      </c>
      <c r="D62" s="255"/>
      <c r="E62" s="255"/>
      <c r="F62" s="255"/>
      <c r="G62" s="256">
        <v>0.5</v>
      </c>
      <c r="H62" s="256"/>
      <c r="I62" s="257">
        <f>过程评分表!K54</f>
        <v>3.8</v>
      </c>
      <c r="J62" s="257"/>
      <c r="K62" s="24">
        <f t="shared" ref="K62:K64" si="1">G62*I62</f>
        <v>1.9</v>
      </c>
    </row>
    <row r="63" spans="1:11" ht="28" customHeight="1">
      <c r="A63" s="255" t="s">
        <v>146</v>
      </c>
      <c r="B63" s="255"/>
      <c r="C63" s="255" t="s">
        <v>147</v>
      </c>
      <c r="D63" s="255"/>
      <c r="E63" s="255"/>
      <c r="F63" s="255"/>
      <c r="G63" s="256">
        <v>0.3</v>
      </c>
      <c r="H63" s="256"/>
      <c r="I63" s="257">
        <f>'答辩评分表  '!J18</f>
        <v>3.4</v>
      </c>
      <c r="J63" s="257"/>
      <c r="K63" s="24">
        <f t="shared" si="1"/>
        <v>1.02</v>
      </c>
    </row>
    <row r="64" spans="1:11" ht="25" customHeight="1">
      <c r="A64" s="255" t="s">
        <v>148</v>
      </c>
      <c r="B64" s="255"/>
      <c r="C64" s="255" t="s">
        <v>149</v>
      </c>
      <c r="D64" s="255"/>
      <c r="E64" s="255"/>
      <c r="F64" s="255"/>
      <c r="G64" s="256">
        <v>0.2</v>
      </c>
      <c r="H64" s="256"/>
      <c r="I64" s="257">
        <f>('团队合作自评-互评表'!F59*40%+'团队合作自评-互评表'!F104*60%)/20</f>
        <v>3</v>
      </c>
      <c r="J64" s="257"/>
      <c r="K64" s="24">
        <f t="shared" si="1"/>
        <v>0.6</v>
      </c>
    </row>
    <row r="65" spans="1:11" ht="24" customHeight="1">
      <c r="A65" s="255" t="s">
        <v>150</v>
      </c>
      <c r="B65" s="255"/>
      <c r="C65" s="255"/>
      <c r="D65" s="255"/>
      <c r="E65" s="255"/>
      <c r="F65" s="255"/>
      <c r="G65" s="258">
        <f>K62+K63+K64</f>
        <v>3.52</v>
      </c>
      <c r="H65" s="258"/>
      <c r="I65" s="258"/>
      <c r="J65" s="258"/>
      <c r="K65" s="258"/>
    </row>
    <row r="66" spans="1:11" ht="24" customHeight="1">
      <c r="A66" s="255" t="s">
        <v>151</v>
      </c>
      <c r="B66" s="255"/>
      <c r="C66" s="217"/>
      <c r="D66" s="217"/>
      <c r="E66" s="217"/>
      <c r="F66" s="217"/>
      <c r="G66" s="259" t="str">
        <f>IF(G65&gt;=4.5,"优秀",IF(G65&gt;=4,"良好",IF(G65&gt;=3.5,"中等",IF(G65&gt;=3,"及格",IF(G65&lt;3,"不及格")))))</f>
        <v>中等</v>
      </c>
      <c r="H66" s="259"/>
      <c r="I66" s="259"/>
      <c r="J66" s="259"/>
      <c r="K66" s="259"/>
    </row>
    <row r="67" spans="1:11" ht="45" customHeight="1">
      <c r="A67" s="260" t="s">
        <v>152</v>
      </c>
      <c r="B67" s="261"/>
      <c r="C67" s="261"/>
      <c r="D67" s="261"/>
      <c r="E67" s="261"/>
      <c r="F67" s="261"/>
      <c r="G67" s="261"/>
      <c r="H67" s="261"/>
      <c r="I67" s="261"/>
      <c r="J67" s="261"/>
      <c r="K67" s="262"/>
    </row>
    <row r="68" spans="1:11" ht="31" customHeight="1">
      <c r="A68" s="253" t="s">
        <v>153</v>
      </c>
      <c r="B68" s="253"/>
      <c r="C68" s="23">
        <v>1</v>
      </c>
      <c r="D68" s="23">
        <v>2</v>
      </c>
      <c r="E68" s="23">
        <v>3</v>
      </c>
      <c r="F68" s="255">
        <v>4</v>
      </c>
      <c r="G68" s="255"/>
      <c r="H68" s="187">
        <v>5</v>
      </c>
      <c r="I68" s="189"/>
      <c r="J68" s="187">
        <v>6</v>
      </c>
      <c r="K68" s="189"/>
    </row>
    <row r="69" spans="1:11" ht="24" customHeight="1">
      <c r="A69" s="253" t="s">
        <v>154</v>
      </c>
      <c r="B69" s="253"/>
      <c r="C69" s="25">
        <v>1</v>
      </c>
      <c r="D69" s="25">
        <v>2</v>
      </c>
      <c r="E69" s="25">
        <v>0.5</v>
      </c>
      <c r="F69" s="263">
        <v>0.5</v>
      </c>
      <c r="G69" s="264"/>
      <c r="H69" s="187">
        <v>0.5</v>
      </c>
      <c r="I69" s="189"/>
      <c r="J69" s="187">
        <v>0.5</v>
      </c>
      <c r="K69" s="189"/>
    </row>
    <row r="70" spans="1:11" ht="30" customHeight="1">
      <c r="A70" s="253" t="s">
        <v>116</v>
      </c>
      <c r="B70" s="253"/>
      <c r="C70" s="26">
        <f>过程评分表!K48*50%+'答辩评分表  '!J12*50%</f>
        <v>0.7</v>
      </c>
      <c r="D70" s="26">
        <f>过程评分表!K49*50%+'答辩评分表  '!J13*50%</f>
        <v>1.4</v>
      </c>
      <c r="E70" s="26">
        <f>过程评分表!K50*50%+'答辩评分表  '!J14*50%</f>
        <v>0.4</v>
      </c>
      <c r="F70" s="265">
        <f>过程评分表!K51*25%+'答辩评分表  '!J15*25%+('团队合作自评-互评表'!F63*40%+'团队合作自评-互评表'!F107*60%)/50*0.5*50%</f>
        <v>0.3</v>
      </c>
      <c r="G70" s="266"/>
      <c r="H70" s="265">
        <f>过程评分表!K52*25%+'答辩评分表  '!J16*25%+('团队合作自评-互评表'!F64*40%+'团队合作自评-互评表'!F108*60%)/50*0.5*50%</f>
        <v>0.375</v>
      </c>
      <c r="I70" s="266"/>
      <c r="J70" s="265">
        <f>过程评分表!K53*50%+'答辩评分表  '!J17*50%</f>
        <v>0.35</v>
      </c>
      <c r="K70" s="266"/>
    </row>
    <row r="71" spans="1:11" ht="11.15" customHeight="1">
      <c r="A71" s="27"/>
      <c r="B71" s="27"/>
      <c r="C71" s="28"/>
      <c r="D71" s="28"/>
      <c r="E71" s="28"/>
      <c r="F71" s="28"/>
      <c r="G71" s="28"/>
      <c r="H71" s="28"/>
      <c r="I71" s="28"/>
      <c r="J71" s="28"/>
      <c r="K71" s="28"/>
    </row>
    <row r="72" spans="1:11" ht="24" customHeight="1">
      <c r="A72" s="267" t="s">
        <v>155</v>
      </c>
      <c r="B72" s="267"/>
      <c r="C72" s="28"/>
      <c r="D72" s="28"/>
      <c r="E72" s="28"/>
      <c r="F72" s="28"/>
      <c r="G72" s="28"/>
      <c r="H72" s="28"/>
      <c r="I72" s="28"/>
      <c r="J72" s="28"/>
      <c r="K72" s="28"/>
    </row>
    <row r="73" spans="1:11" ht="24" customHeight="1">
      <c r="A73" s="272" t="s">
        <v>156</v>
      </c>
      <c r="B73" s="272"/>
      <c r="C73" s="272"/>
      <c r="D73" s="272"/>
      <c r="E73" s="272"/>
      <c r="F73" s="272"/>
      <c r="G73" s="272"/>
      <c r="H73" s="272"/>
      <c r="I73" s="272"/>
      <c r="J73" s="272"/>
      <c r="K73" s="272"/>
    </row>
    <row r="74" spans="1:11" ht="24" customHeight="1">
      <c r="A74" s="272"/>
      <c r="B74" s="272"/>
      <c r="C74" s="272"/>
      <c r="D74" s="272"/>
      <c r="E74" s="272"/>
      <c r="F74" s="272"/>
      <c r="G74" s="272"/>
      <c r="H74" s="272"/>
      <c r="I74" s="272"/>
      <c r="J74" s="272"/>
      <c r="K74" s="272"/>
    </row>
    <row r="75" spans="1:11" ht="36" customHeight="1">
      <c r="A75" s="268" t="s">
        <v>157</v>
      </c>
      <c r="B75" s="268"/>
      <c r="C75" s="269" t="str">
        <f>G66</f>
        <v>中等</v>
      </c>
      <c r="D75" s="269"/>
      <c r="E75" s="28"/>
      <c r="F75" s="28"/>
      <c r="G75" s="28"/>
      <c r="H75" s="28"/>
      <c r="I75" s="28"/>
      <c r="J75" s="28"/>
      <c r="K75" s="28"/>
    </row>
    <row r="76" spans="1:11" ht="43" customHeight="1">
      <c r="A76" s="270" t="s">
        <v>158</v>
      </c>
      <c r="B76" s="270"/>
      <c r="C76" s="271" t="str">
        <f>基础信息表!C11</f>
        <v>=DISPIMG("ID_A08B1BBDD01046CB8B5D1E00D71465ED",1)</v>
      </c>
      <c r="D76" s="271"/>
      <c r="E76" s="30"/>
      <c r="F76" s="28"/>
      <c r="G76" s="28"/>
      <c r="H76" s="28"/>
      <c r="I76" s="28"/>
      <c r="J76" s="28"/>
      <c r="K76" s="31"/>
    </row>
    <row r="77" spans="1:11" ht="20" customHeight="1">
      <c r="A77" s="29"/>
      <c r="B77" s="29"/>
      <c r="C77" s="28"/>
      <c r="D77" s="28"/>
      <c r="E77" s="30"/>
      <c r="F77" s="28"/>
      <c r="G77" s="28"/>
      <c r="H77" s="28"/>
      <c r="I77" s="28"/>
      <c r="J77" s="28"/>
      <c r="K77" s="31"/>
    </row>
    <row r="78" spans="1:11" ht="24" customHeight="1">
      <c r="A78" s="27"/>
      <c r="B78" s="27"/>
      <c r="C78" s="28"/>
      <c r="D78" s="28"/>
      <c r="E78" s="28"/>
      <c r="F78" s="192">
        <f>基础信息表!F16</f>
        <v>46213</v>
      </c>
      <c r="G78" s="192"/>
      <c r="H78" s="192"/>
      <c r="I78" s="192"/>
      <c r="J78" s="192"/>
      <c r="K78" s="192"/>
    </row>
  </sheetData>
  <sheetProtection selectLockedCells="1"/>
  <protectedRanges>
    <protectedRange sqref="C76:D76" name="区域1"/>
  </protectedRanges>
  <mergeCells count="159">
    <mergeCell ref="A75:B75"/>
    <mergeCell ref="C75:D75"/>
    <mergeCell ref="A76:B76"/>
    <mergeCell ref="C76:D76"/>
    <mergeCell ref="F78:K78"/>
    <mergeCell ref="A21:K22"/>
    <mergeCell ref="A47:K48"/>
    <mergeCell ref="A73:K74"/>
    <mergeCell ref="A69:B69"/>
    <mergeCell ref="F69:G69"/>
    <mergeCell ref="H69:I69"/>
    <mergeCell ref="J69:K69"/>
    <mergeCell ref="A70:B70"/>
    <mergeCell ref="F70:G70"/>
    <mergeCell ref="H70:I70"/>
    <mergeCell ref="J70:K70"/>
    <mergeCell ref="A72:B72"/>
    <mergeCell ref="A65:F65"/>
    <mergeCell ref="G65:K65"/>
    <mergeCell ref="A66:F66"/>
    <mergeCell ref="G66:K66"/>
    <mergeCell ref="A67:K67"/>
    <mergeCell ref="A68:B68"/>
    <mergeCell ref="F68:G68"/>
    <mergeCell ref="H68:I68"/>
    <mergeCell ref="J68:K68"/>
    <mergeCell ref="A62:B62"/>
    <mergeCell ref="C62:F62"/>
    <mergeCell ref="G62:H62"/>
    <mergeCell ref="I62:J62"/>
    <mergeCell ref="A63:B63"/>
    <mergeCell ref="C63:F63"/>
    <mergeCell ref="G63:H63"/>
    <mergeCell ref="I63:J63"/>
    <mergeCell ref="A64:B64"/>
    <mergeCell ref="C64:F64"/>
    <mergeCell ref="G64:H64"/>
    <mergeCell ref="I64:J64"/>
    <mergeCell ref="A57:B57"/>
    <mergeCell ref="D57:E57"/>
    <mergeCell ref="F57:H57"/>
    <mergeCell ref="A58:B58"/>
    <mergeCell ref="D58:E58"/>
    <mergeCell ref="F58:H58"/>
    <mergeCell ref="I58:J58"/>
    <mergeCell ref="A60:B60"/>
    <mergeCell ref="A61:B61"/>
    <mergeCell ref="C61:F61"/>
    <mergeCell ref="G61:H61"/>
    <mergeCell ref="I61:J61"/>
    <mergeCell ref="A49:B49"/>
    <mergeCell ref="C49:D49"/>
    <mergeCell ref="A50:B50"/>
    <mergeCell ref="C50:D50"/>
    <mergeCell ref="F52:K52"/>
    <mergeCell ref="A53:K53"/>
    <mergeCell ref="A54:K54"/>
    <mergeCell ref="A55:K55"/>
    <mergeCell ref="A56:B56"/>
    <mergeCell ref="C56:K56"/>
    <mergeCell ref="A43:B43"/>
    <mergeCell ref="F43:G43"/>
    <mergeCell ref="H43:I43"/>
    <mergeCell ref="J43:K43"/>
    <mergeCell ref="A44:B44"/>
    <mergeCell ref="F44:G44"/>
    <mergeCell ref="H44:I44"/>
    <mergeCell ref="J44:K44"/>
    <mergeCell ref="A46:B46"/>
    <mergeCell ref="A39:F39"/>
    <mergeCell ref="G39:K39"/>
    <mergeCell ref="A40:F40"/>
    <mergeCell ref="G40:K40"/>
    <mergeCell ref="A41:K41"/>
    <mergeCell ref="A42:B42"/>
    <mergeCell ref="F42:G42"/>
    <mergeCell ref="H42:I42"/>
    <mergeCell ref="J42:K42"/>
    <mergeCell ref="A36:B36"/>
    <mergeCell ref="C36:F36"/>
    <mergeCell ref="G36:H36"/>
    <mergeCell ref="I36:J36"/>
    <mergeCell ref="A37:B37"/>
    <mergeCell ref="C37:F37"/>
    <mergeCell ref="G37:H37"/>
    <mergeCell ref="I37:J37"/>
    <mergeCell ref="A38:B38"/>
    <mergeCell ref="C38:F38"/>
    <mergeCell ref="G38:H38"/>
    <mergeCell ref="I38:J38"/>
    <mergeCell ref="A32:B32"/>
    <mergeCell ref="D32:E32"/>
    <mergeCell ref="F32:H32"/>
    <mergeCell ref="I32:J32"/>
    <mergeCell ref="A34:B34"/>
    <mergeCell ref="A35:B35"/>
    <mergeCell ref="C35:F35"/>
    <mergeCell ref="G35:H35"/>
    <mergeCell ref="I35:J35"/>
    <mergeCell ref="F26:K26"/>
    <mergeCell ref="A27:K27"/>
    <mergeCell ref="A28:K28"/>
    <mergeCell ref="A29:K29"/>
    <mergeCell ref="A30:B30"/>
    <mergeCell ref="C30:K30"/>
    <mergeCell ref="A31:B31"/>
    <mergeCell ref="D31:E31"/>
    <mergeCell ref="F31:H31"/>
    <mergeCell ref="A18:B18"/>
    <mergeCell ref="F18:G18"/>
    <mergeCell ref="H18:I18"/>
    <mergeCell ref="J18:K18"/>
    <mergeCell ref="A20:B20"/>
    <mergeCell ref="A23:B23"/>
    <mergeCell ref="C23:D23"/>
    <mergeCell ref="A24:B24"/>
    <mergeCell ref="C24:D24"/>
    <mergeCell ref="A14:F14"/>
    <mergeCell ref="G14:K14"/>
    <mergeCell ref="A15:K15"/>
    <mergeCell ref="A16:B16"/>
    <mergeCell ref="F16:G16"/>
    <mergeCell ref="H16:I16"/>
    <mergeCell ref="J16:K16"/>
    <mergeCell ref="A17:B17"/>
    <mergeCell ref="F17:G17"/>
    <mergeCell ref="H17:I17"/>
    <mergeCell ref="J17:K17"/>
    <mergeCell ref="A11:B11"/>
    <mergeCell ref="C11:F11"/>
    <mergeCell ref="G11:H11"/>
    <mergeCell ref="I11:J11"/>
    <mergeCell ref="A12:B12"/>
    <mergeCell ref="C12:F12"/>
    <mergeCell ref="G12:H12"/>
    <mergeCell ref="I12:J12"/>
    <mergeCell ref="A13:F13"/>
    <mergeCell ref="G13:K13"/>
    <mergeCell ref="A8:B8"/>
    <mergeCell ref="A9:B9"/>
    <mergeCell ref="C9:F9"/>
    <mergeCell ref="G9:H9"/>
    <mergeCell ref="I9:J9"/>
    <mergeCell ref="A10:B10"/>
    <mergeCell ref="C10:F10"/>
    <mergeCell ref="G10:H10"/>
    <mergeCell ref="I10:J10"/>
    <mergeCell ref="A1:K1"/>
    <mergeCell ref="A2:K2"/>
    <mergeCell ref="A3:K3"/>
    <mergeCell ref="A4:B4"/>
    <mergeCell ref="C4:K4"/>
    <mergeCell ref="A5:B5"/>
    <mergeCell ref="D5:E5"/>
    <mergeCell ref="F5:H5"/>
    <mergeCell ref="A6:B6"/>
    <mergeCell ref="D6:E6"/>
    <mergeCell ref="F6:H6"/>
    <mergeCell ref="I6:J6"/>
  </mergeCells>
  <phoneticPr fontId="45" type="noConversion"/>
  <printOptions horizontalCentered="1"/>
  <pageMargins left="0.75138888888888899" right="0.75138888888888899" top="1" bottom="1" header="0.5" footer="0.5"/>
  <pageSetup paperSize="9" orientation="portrait" r:id="rId1"/>
  <headerFooter>
    <oddHeader>&amp;C&amp;"方正公文小标宋"成绩评定单</oddHeader>
    <oddFooter>&amp;C&amp;"方正公文小标宋"第 &amp;P 页，共 &amp;N 页</oddFooter>
  </headerFooter>
  <ignoredErrors>
    <ignoredError sqref="C24"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7"/>
  <sheetViews>
    <sheetView workbookViewId="0">
      <selection activeCell="J4" sqref="J4"/>
    </sheetView>
  </sheetViews>
  <sheetFormatPr defaultColWidth="9" defaultRowHeight="15"/>
  <cols>
    <col min="1" max="1" width="13.7265625" style="2" customWidth="1"/>
    <col min="2" max="2" width="7.36328125" style="2" customWidth="1"/>
    <col min="3" max="3" width="12.6328125" style="2" customWidth="1"/>
    <col min="4" max="6" width="9.36328125" style="3" customWidth="1"/>
    <col min="7" max="7" width="6.36328125" style="3" customWidth="1"/>
    <col min="8" max="8" width="7.36328125" style="4" customWidth="1"/>
    <col min="9" max="13" width="7.36328125" style="5" customWidth="1"/>
    <col min="14" max="14" width="44.6328125" style="2" customWidth="1"/>
    <col min="15" max="16" width="9" style="3"/>
  </cols>
  <sheetData>
    <row r="1" spans="1:16">
      <c r="A1" s="172" t="s">
        <v>159</v>
      </c>
      <c r="B1" s="172"/>
      <c r="C1" s="172"/>
      <c r="D1" s="172"/>
      <c r="E1" s="172"/>
      <c r="F1" s="172"/>
      <c r="G1" s="172"/>
      <c r="H1" s="172"/>
      <c r="I1" s="172"/>
      <c r="J1" s="172"/>
      <c r="K1" s="172"/>
      <c r="L1" s="172"/>
      <c r="M1" s="172"/>
      <c r="N1" s="172"/>
      <c r="O1" s="2"/>
      <c r="P1" s="2"/>
    </row>
    <row r="2" spans="1:16" s="1" customFormat="1" ht="30" customHeight="1">
      <c r="A2" s="6" t="s">
        <v>6</v>
      </c>
      <c r="B2" s="6" t="s">
        <v>5</v>
      </c>
      <c r="C2" s="6" t="s">
        <v>7</v>
      </c>
      <c r="D2" s="6" t="s">
        <v>11</v>
      </c>
      <c r="E2" s="6" t="s">
        <v>3</v>
      </c>
      <c r="F2" s="6" t="s">
        <v>4</v>
      </c>
      <c r="G2" s="6" t="s">
        <v>160</v>
      </c>
      <c r="H2" s="7" t="s">
        <v>161</v>
      </c>
      <c r="I2" s="7" t="s">
        <v>162</v>
      </c>
      <c r="J2" s="7" t="s">
        <v>68</v>
      </c>
      <c r="K2" s="7" t="s">
        <v>163</v>
      </c>
      <c r="L2" s="7" t="s">
        <v>164</v>
      </c>
      <c r="M2" s="7" t="s">
        <v>165</v>
      </c>
      <c r="N2" s="6" t="s">
        <v>74</v>
      </c>
      <c r="O2" s="8"/>
      <c r="P2" s="8"/>
    </row>
    <row r="3" spans="1:16" s="1" customFormat="1" ht="30" customHeight="1">
      <c r="A3" s="9">
        <f>基础信息表!E6</f>
        <v>0</v>
      </c>
      <c r="B3" s="9">
        <f>基础信息表!D6</f>
        <v>0</v>
      </c>
      <c r="C3" s="9" t="str">
        <f>基础信息表!F6</f>
        <v>自动化2301</v>
      </c>
      <c r="D3" s="9" t="str">
        <f>基础信息表!B8</f>
        <v>王艳辉</v>
      </c>
      <c r="E3" s="110" t="str">
        <f>基础信息表!B6</f>
        <v>0901</v>
      </c>
      <c r="F3" s="9" t="str">
        <f>基础信息表!C6</f>
        <v>负责人</v>
      </c>
      <c r="G3" s="9" t="str">
        <f>成绩评定单!C23</f>
        <v>中等</v>
      </c>
      <c r="H3" s="10">
        <f>成绩评定单!C18</f>
        <v>0.8</v>
      </c>
      <c r="I3" s="10">
        <f>成绩评定单!D18</f>
        <v>1.4</v>
      </c>
      <c r="J3" s="10">
        <f>成绩评定单!E18</f>
        <v>0.4</v>
      </c>
      <c r="K3" s="10">
        <f>成绩评定单!F18</f>
        <v>0.45</v>
      </c>
      <c r="L3" s="10">
        <f>成绩评定单!H18</f>
        <v>0.47499999999999998</v>
      </c>
      <c r="M3" s="10">
        <f>成绩评定单!J18</f>
        <v>0.35</v>
      </c>
      <c r="N3" s="11">
        <f>基础信息表!C3</f>
        <v>0</v>
      </c>
      <c r="O3" s="8"/>
      <c r="P3" s="8"/>
    </row>
    <row r="4" spans="1:16" s="1" customFormat="1" ht="30" customHeight="1">
      <c r="A4" s="9">
        <f>基础信息表!E7</f>
        <v>0</v>
      </c>
      <c r="B4" s="9">
        <f>基础信息表!D7</f>
        <v>0</v>
      </c>
      <c r="C4" s="9" t="str">
        <f>基础信息表!F7</f>
        <v>自动化2301</v>
      </c>
      <c r="D4" s="9" t="str">
        <f>基础信息表!B8</f>
        <v>王艳辉</v>
      </c>
      <c r="E4" s="110" t="str">
        <f>基础信息表!B6</f>
        <v>0901</v>
      </c>
      <c r="F4" s="9" t="str">
        <f>基础信息表!C7</f>
        <v>成员1</v>
      </c>
      <c r="G4" s="9" t="str">
        <f>成绩评定单!C49</f>
        <v>良好</v>
      </c>
      <c r="H4" s="10">
        <f>成绩评定单!C44</f>
        <v>0.8</v>
      </c>
      <c r="I4" s="10">
        <f>成绩评定单!D44</f>
        <v>1.4</v>
      </c>
      <c r="J4" s="10">
        <f>成绩评定单!E44</f>
        <v>0.4</v>
      </c>
      <c r="K4" s="10">
        <f>成绩评定单!F44</f>
        <v>0.35</v>
      </c>
      <c r="L4" s="10">
        <f>成绩评定单!H44</f>
        <v>0.375</v>
      </c>
      <c r="M4" s="10">
        <f>成绩评定单!J44</f>
        <v>0.35</v>
      </c>
      <c r="N4" s="11">
        <f>基础信息表!C3</f>
        <v>0</v>
      </c>
      <c r="O4" s="8"/>
      <c r="P4" s="8"/>
    </row>
    <row r="5" spans="1:16" s="1" customFormat="1" ht="30" customHeight="1">
      <c r="A5" s="9">
        <f>基础信息表!E8</f>
        <v>0</v>
      </c>
      <c r="B5" s="9">
        <f>基础信息表!D8</f>
        <v>0</v>
      </c>
      <c r="C5" s="9" t="str">
        <f>基础信息表!F8</f>
        <v>自动化2301</v>
      </c>
      <c r="D5" s="9" t="str">
        <f>基础信息表!B8</f>
        <v>王艳辉</v>
      </c>
      <c r="E5" s="110" t="str">
        <f>基础信息表!B6</f>
        <v>0901</v>
      </c>
      <c r="F5" s="9" t="str">
        <f>基础信息表!C8</f>
        <v>成员2</v>
      </c>
      <c r="G5" s="9" t="str">
        <f>成绩评定单!C75</f>
        <v>中等</v>
      </c>
      <c r="H5" s="10">
        <f>成绩评定单!C70</f>
        <v>0.7</v>
      </c>
      <c r="I5" s="10">
        <f>成绩评定单!D70</f>
        <v>1.4</v>
      </c>
      <c r="J5" s="10">
        <f>成绩评定单!E70</f>
        <v>0.4</v>
      </c>
      <c r="K5" s="10">
        <f>成绩评定单!F70</f>
        <v>0.3</v>
      </c>
      <c r="L5" s="10">
        <f>成绩评定单!H70</f>
        <v>0.375</v>
      </c>
      <c r="M5" s="10">
        <f>成绩评定单!J70</f>
        <v>0.35</v>
      </c>
      <c r="N5" s="11">
        <f>基础信息表!C3</f>
        <v>0</v>
      </c>
      <c r="O5" s="8"/>
      <c r="P5" s="8"/>
    </row>
    <row r="7" spans="1:16">
      <c r="D7" s="2"/>
      <c r="E7" s="2"/>
      <c r="F7" s="2"/>
      <c r="G7" s="2"/>
      <c r="H7" s="5"/>
      <c r="O7" s="2"/>
      <c r="P7" s="2"/>
    </row>
    <row r="8" spans="1:16">
      <c r="D8" s="2"/>
      <c r="E8" s="2"/>
      <c r="F8" s="2"/>
      <c r="G8" s="2"/>
      <c r="H8" s="5"/>
      <c r="O8" s="2"/>
      <c r="P8" s="2"/>
    </row>
    <row r="9" spans="1:16">
      <c r="D9" s="2"/>
      <c r="E9" s="2"/>
      <c r="F9" s="2"/>
      <c r="G9" s="2"/>
      <c r="H9" s="5"/>
      <c r="O9" s="2"/>
      <c r="P9" s="2"/>
    </row>
    <row r="10" spans="1:16">
      <c r="D10" s="2"/>
      <c r="E10" s="2"/>
      <c r="F10" s="2"/>
      <c r="G10" s="2"/>
      <c r="H10" s="5"/>
      <c r="O10" s="2"/>
      <c r="P10" s="2"/>
    </row>
    <row r="11" spans="1:16">
      <c r="D11" s="2"/>
      <c r="E11" s="2"/>
      <c r="F11" s="2"/>
      <c r="G11" s="2"/>
      <c r="H11" s="5"/>
      <c r="O11" s="2"/>
      <c r="P11" s="2"/>
    </row>
    <row r="12" spans="1:16">
      <c r="D12" s="2"/>
      <c r="E12" s="2"/>
      <c r="F12" s="2"/>
      <c r="G12" s="2"/>
      <c r="H12" s="5"/>
      <c r="O12" s="2"/>
      <c r="P12" s="2"/>
    </row>
    <row r="13" spans="1:16">
      <c r="D13" s="2"/>
      <c r="E13" s="2"/>
      <c r="F13" s="2"/>
      <c r="G13" s="2"/>
      <c r="H13" s="5"/>
      <c r="O13" s="2"/>
      <c r="P13" s="2"/>
    </row>
    <row r="14" spans="1:16">
      <c r="D14" s="2"/>
      <c r="E14" s="2"/>
      <c r="F14" s="2"/>
      <c r="G14" s="2"/>
      <c r="H14" s="5"/>
      <c r="O14" s="2"/>
      <c r="P14" s="2"/>
    </row>
    <row r="15" spans="1:16">
      <c r="D15" s="2"/>
      <c r="E15" s="2"/>
      <c r="F15" s="2"/>
      <c r="G15" s="2"/>
      <c r="H15" s="5"/>
      <c r="O15" s="2"/>
      <c r="P15" s="2"/>
    </row>
    <row r="16" spans="1:16">
      <c r="D16" s="2"/>
      <c r="E16" s="2"/>
      <c r="F16" s="2"/>
      <c r="G16" s="2"/>
      <c r="H16" s="5"/>
      <c r="O16" s="2"/>
      <c r="P16" s="2"/>
    </row>
    <row r="17" spans="4:16">
      <c r="D17" s="2"/>
      <c r="E17" s="2"/>
      <c r="F17" s="2"/>
      <c r="G17" s="2"/>
      <c r="H17" s="5"/>
      <c r="O17" s="2"/>
      <c r="P17" s="2"/>
    </row>
  </sheetData>
  <sheetProtection sheet="1" objects="1"/>
  <mergeCells count="1">
    <mergeCell ref="A1:N1"/>
  </mergeCells>
  <phoneticPr fontId="45" type="noConversion"/>
  <pageMargins left="0.75" right="0.75" top="1" bottom="1" header="0.5" footer="0.5"/>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3" master="" otherUserPermission="visible">
    <arrUserId title="区域1" rangeCreator="" othersAccessPermission="edit"/>
    <arrUserId title="区域4" rangeCreator="" othersAccessPermission="edit"/>
    <arrUserId title="区域3" rangeCreator="" othersAccessPermission="edit"/>
    <arrUserId title="区域2" rangeCreator="" othersAccessPermission="edit"/>
  </rangeList>
  <rangeList sheetStid="19" master="" otherUserPermission="visible"/>
  <rangeList sheetStid="4" master="" otherUserPermission="visible">
    <arrUserId title="区域2" rangeCreator="" othersAccessPermission="edit"/>
  </rangeList>
  <rangeList sheetStid="15" master="" otherUserPermission="visible"/>
  <rangeList sheetStid="16" master="" otherUserPermission="visible">
    <arrUserId title="区域1" rangeCreator="" othersAccessPermission="edit"/>
  </rangeList>
  <rangeList sheetStid="18"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基础信息表</vt:lpstr>
      <vt:lpstr>过程评分表</vt:lpstr>
      <vt:lpstr>答辩评分表  </vt:lpstr>
      <vt:lpstr>团队合作自评-互评表</vt:lpstr>
      <vt:lpstr>成绩评定单</vt:lpstr>
      <vt:lpstr>信息汇总表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510pro</dc:creator>
  <cp:lastModifiedBy>YU ZHOU</cp:lastModifiedBy>
  <dcterms:created xsi:type="dcterms:W3CDTF">2021-09-30T07:36:00Z</dcterms:created>
  <dcterms:modified xsi:type="dcterms:W3CDTF">2026-07-07T03:58:48Z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D588CF8B14BF48F9ABD87BA090BA05AB_13</vt:lpwstr>
  </property>
  <property fmtid="{D5CDD505-2E9C-101B-9397-08002B2CF9AE}" pid="3" name="KSOProductBuildVer">
    <vt:lpwstr>2052-12.1.0.26895</vt:lpwstr>
  </property>
  <property fmtid="{D5CDD505-2E9C-101B-9397-08002B2CF9AE}" pid="4" name="CalculationRule">
    <vt:i4>0</vt:i4>
  </property>
</Properties>
</file>